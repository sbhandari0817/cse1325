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_t\OneDrive\Documents\P03\"/>
    </mc:Choice>
  </mc:AlternateContent>
  <xr:revisionPtr revIDLastSave="0" documentId="13_ncr:20001_{776DDCAE-AADB-4C52-BDE3-49E4A41823B2}" xr6:coauthVersionLast="45" xr6:coauthVersionMax="45" xr10:uidLastSave="{00000000-0000-0000-0000-000000000000}"/>
  <bookViews>
    <workbookView xWindow="57480" yWindow="-120" windowWidth="29040" windowHeight="15840" tabRatio="500" activeTab="3" xr2:uid="{00000000-000D-0000-FFFF-FFFF00000000}"/>
  </bookViews>
  <sheets>
    <sheet name="Product Backlog" sheetId="1" r:id="rId1"/>
    <sheet name="Sprint 01 Backlog" sheetId="2" r:id="rId2"/>
    <sheet name="Sprint 02 Backlog" sheetId="3" r:id="rId3"/>
    <sheet name="Sprint 03 Backlog" sheetId="4" r:id="rId4"/>
    <sheet name="Sprint 04 Backlog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13" i="4" l="1"/>
  <c r="B14" i="4" s="1"/>
  <c r="C14" i="5"/>
  <c r="C13" i="5"/>
  <c r="C12" i="5"/>
  <c r="C11" i="5"/>
  <c r="C10" i="5"/>
  <c r="C9" i="5"/>
  <c r="C8" i="5"/>
  <c r="B7" i="5"/>
  <c r="B8" i="5" s="1"/>
  <c r="B9" i="5" s="1"/>
  <c r="B10" i="5" s="1"/>
  <c r="B11" i="5" s="1"/>
  <c r="B12" i="5" s="1"/>
  <c r="B13" i="5" s="1"/>
  <c r="B14" i="5" s="1"/>
  <c r="C11" i="4"/>
  <c r="C9" i="4"/>
  <c r="B7" i="4"/>
  <c r="B8" i="4" s="1"/>
  <c r="B9" i="4" s="1"/>
  <c r="B10" i="4" s="1"/>
  <c r="B11" i="4" s="1"/>
  <c r="B12" i="4" s="1"/>
  <c r="B2" i="4"/>
  <c r="B2" i="5" s="1"/>
  <c r="B3" i="5" s="1"/>
  <c r="B1" i="4"/>
  <c r="B1" i="5" s="1"/>
  <c r="C14" i="3"/>
  <c r="C13" i="3"/>
  <c r="C12" i="3"/>
  <c r="C11" i="3"/>
  <c r="C10" i="3"/>
  <c r="C9" i="3"/>
  <c r="C8" i="3"/>
  <c r="B7" i="3"/>
  <c r="B8" i="3" s="1"/>
  <c r="B9" i="3" s="1"/>
  <c r="B10" i="3" s="1"/>
  <c r="B11" i="3" s="1"/>
  <c r="B12" i="3" s="1"/>
  <c r="B13" i="3" s="1"/>
  <c r="B14" i="3" s="1"/>
  <c r="B2" i="3"/>
  <c r="B3" i="3" s="1"/>
  <c r="B1" i="3"/>
  <c r="C14" i="2"/>
  <c r="C13" i="2"/>
  <c r="C12" i="2"/>
  <c r="C11" i="2"/>
  <c r="C10" i="2"/>
  <c r="C9" i="2"/>
  <c r="C8" i="2"/>
  <c r="B7" i="2"/>
  <c r="B8" i="2" s="1"/>
  <c r="B9" i="2" s="1"/>
  <c r="B10" i="2" s="1"/>
  <c r="B11" i="2" s="1"/>
  <c r="B12" i="2" s="1"/>
  <c r="B13" i="2" s="1"/>
  <c r="B14" i="2" s="1"/>
  <c r="B3" i="2"/>
  <c r="C17" i="1"/>
  <c r="C16" i="1"/>
  <c r="C15" i="1"/>
  <c r="C14" i="1"/>
  <c r="C13" i="1"/>
  <c r="B12" i="1"/>
  <c r="B13" i="1" s="1"/>
  <c r="B14" i="1" s="1"/>
  <c r="B15" i="1" s="1"/>
  <c r="B16" i="1" s="1"/>
  <c r="B17" i="1" s="1"/>
  <c r="B3" i="4" l="1"/>
</calcChain>
</file>

<file path=xl/sharedStrings.xml><?xml version="1.0" encoding="utf-8"?>
<sst xmlns="http://schemas.openxmlformats.org/spreadsheetml/2006/main" count="369" uniqueCount="190">
  <si>
    <t>Product Name:</t>
  </si>
  <si>
    <t>Exceptional Laptops and Supercomputers Always (ELSA)</t>
  </si>
  <si>
    <t>Complete Fields in Green!!!</t>
  </si>
  <si>
    <t>Team ID:</t>
  </si>
  <si>
    <t>Suggested Solution</t>
  </si>
  <si>
    <t>Team Member Name</t>
  </si>
  <si>
    <t>Initials</t>
  </si>
  <si>
    <t>Student ID</t>
  </si>
  <si>
    <t>Required</t>
  </si>
  <si>
    <t>Professor Rice</t>
  </si>
  <si>
    <t>GFR</t>
  </si>
  <si>
    <t>Sprint #</t>
  </si>
  <si>
    <t>Remaining</t>
  </si>
  <si>
    <t>Completed This Sprint</t>
  </si>
  <si>
    <t>Comment</t>
  </si>
  <si>
    <t>Total</t>
  </si>
  <si>
    <t>Total number of features (in column H)</t>
  </si>
  <si>
    <t>Total features left at the end of Sprint #1</t>
  </si>
  <si>
    <t>Total features left at the end of Sprint #2</t>
  </si>
  <si>
    <t>...and so on</t>
  </si>
  <si>
    <t>Note: Priority and specs for unfinished Features is subject to change at the end of each sprint at the whim of the Product Owner</t>
  </si>
  <si>
    <t>Additional features may be proposed by the student but must be approved by the Product Owner in writing</t>
  </si>
  <si>
    <t xml:space="preserve">Sprints                </t>
  </si>
  <si>
    <t>Feature ID</t>
  </si>
  <si>
    <t>Priority</t>
  </si>
  <si>
    <t>Bonus</t>
  </si>
  <si>
    <t>Est</t>
  </si>
  <si>
    <t>Planned</t>
  </si>
  <si>
    <t>Status</t>
  </si>
  <si>
    <t>As a...</t>
  </si>
  <si>
    <t>I want to...</t>
  </si>
  <si>
    <t>So that I can…</t>
  </si>
  <si>
    <t>Notes</t>
  </si>
  <si>
    <t>CUST</t>
  </si>
  <si>
    <t>Finished in Sprint 1</t>
  </si>
  <si>
    <t>Sales Staff</t>
  </si>
  <si>
    <t>Remember each customer’s name and contact info</t>
  </si>
  <si>
    <t>Ship them products repeatedly</t>
  </si>
  <si>
    <t>OPT</t>
  </si>
  <si>
    <t>Inventory</t>
  </si>
  <si>
    <t>Maintain a list of options for a desktop (e.g., disk, RAM, CPU)</t>
  </si>
  <si>
    <t>Select them when designing a new desktop product</t>
  </si>
  <si>
    <t>DESKT</t>
  </si>
  <si>
    <t>Define a new desktop configuration from options</t>
  </si>
  <si>
    <t>Can quickly customize products for my customers</t>
  </si>
  <si>
    <t>ORDER</t>
  </si>
  <si>
    <t>Associate a customer with one or more desktops into an order</t>
  </si>
  <si>
    <t>Keep track of who has bought what</t>
  </si>
  <si>
    <t>WIN</t>
  </si>
  <si>
    <t>Finished in Sprint 2</t>
  </si>
  <si>
    <t>Replace text interface with GUI main window</t>
  </si>
  <si>
    <t>Use it more easily</t>
  </si>
  <si>
    <t>Recommend baselining Nim from Lecture 13</t>
  </si>
  <si>
    <t>OUTM</t>
  </si>
  <si>
    <t>Replace list of data records with main window list</t>
  </si>
  <si>
    <t>Access the data directly in the window</t>
  </si>
  <si>
    <t>Try using std::ostringstream to capture operator&lt;&lt; formatting</t>
  </si>
  <si>
    <t>INDIA</t>
  </si>
  <si>
    <t>Replace data queries with series of dialogs</t>
  </si>
  <si>
    <t>Do everything within the GUI</t>
  </si>
  <si>
    <t>Recommend baselining EntryDialog from Lecture 14</t>
  </si>
  <si>
    <t>ABOUT</t>
  </si>
  <si>
    <t>Director</t>
  </si>
  <si>
    <t>Provide About dialog for documenting licenses</t>
  </si>
  <si>
    <t>Avoid a lawsuit</t>
  </si>
  <si>
    <t>SAVE</t>
  </si>
  <si>
    <t>Manager</t>
  </si>
  <si>
    <t>Save the data to a default file (File &gt; Save)</t>
  </si>
  <si>
    <t>Persist our data through the years</t>
  </si>
  <si>
    <t>This requires modifying the “model” to save and reload each object from a provided stream</t>
  </si>
  <si>
    <t>SAVAS</t>
  </si>
  <si>
    <t>Save the data to a specified file (File &gt; Save As)</t>
  </si>
  <si>
    <t>Use Gtk::FileChooser</t>
  </si>
  <si>
    <t>LOAD</t>
  </si>
  <si>
    <t>Load the data from a specified file (File &gt; Open)</t>
  </si>
  <si>
    <t>QRAM</t>
  </si>
  <si>
    <t>Customer</t>
  </si>
  <si>
    <t>Store and display additional RAM data</t>
  </si>
  <si>
    <t>Ensure I purchase the correct product</t>
  </si>
  <si>
    <t>DCUST</t>
  </si>
  <si>
    <t>Replace Insert Customer dialogs with single dialog</t>
  </si>
  <si>
    <t>Enter data more quickly</t>
  </si>
  <si>
    <t>BONUS WORK – COMPLETE ABOVE FEATURES FIRST!!!</t>
  </si>
  <si>
    <t>QCPU</t>
  </si>
  <si>
    <t>Store and display additional CPU data</t>
  </si>
  <si>
    <t>Derive classes from Options and call operator&lt;&lt; polymorphically</t>
  </si>
  <si>
    <t>QDISK</t>
  </si>
  <si>
    <t>Store and display additional Disk data</t>
  </si>
  <si>
    <t>DORD</t>
  </si>
  <si>
    <t>Replace Insert Order dialogs with single dialog</t>
  </si>
  <si>
    <t>DOPT</t>
  </si>
  <si>
    <t>Replace Insert Option dialogs with single dialog</t>
  </si>
  <si>
    <t>DDESK</t>
  </si>
  <si>
    <t>Replace Insert Desktop dialogs with single dialog</t>
  </si>
  <si>
    <t>TBAR</t>
  </si>
  <si>
    <t>Access key functionality with a toolbar AND menu</t>
  </si>
  <si>
    <t>More quickly access the behaviors I need</t>
  </si>
  <si>
    <t>You can baseline this code from Nim’s Mainwin::Mainwin as well</t>
  </si>
  <si>
    <t>SCROL</t>
  </si>
  <si>
    <t>Make the main window’s data area scrollable</t>
  </si>
  <si>
    <t>See large volumes of data</t>
  </si>
  <si>
    <t>The exact settings (e.g., are the scrollbars always visible or only when scrolling is available?) are up to you</t>
  </si>
  <si>
    <t>DEPR</t>
  </si>
  <si>
    <t>Deprecate a product</t>
  </si>
  <si>
    <t>Avoid selling products that are out of production</t>
  </si>
  <si>
    <t>This requires a Boolean with getter and setter in the Options and Desktop classes to indicate which are deprecated. The index number may pose interesting challenges, since deprecation will create gaps.</t>
  </si>
  <si>
    <t>SBAR</t>
  </si>
  <si>
    <t>Replace the Gtk::Label for the status bar with Gtk::Statusbar, and maintain a message stack</t>
  </si>
  <si>
    <t>Better track status of messages</t>
  </si>
  <si>
    <t>Just swapping Gtk::Statusbar for Gtk::Label is trivial. Think through how to manage a first-in last-out stack of messages</t>
  </si>
  <si>
    <t>Start on</t>
  </si>
  <si>
    <t>*** Create a new Sprint Backlog for EVERY SPRINT ***</t>
  </si>
  <si>
    <t>End on</t>
  </si>
  <si>
    <t>Demo on</t>
  </si>
  <si>
    <t>TBD</t>
  </si>
  <si>
    <t>Completed (this day)</t>
  </si>
  <si>
    <t>Total Tasks</t>
  </si>
  <si>
    <t>Day 1 Left</t>
  </si>
  <si>
    <t>Day 2 Left</t>
  </si>
  <si>
    <t>Day 3 Left</t>
  </si>
  <si>
    <t>Day 4 Left</t>
  </si>
  <si>
    <t>Day 5 Left</t>
  </si>
  <si>
    <t>Day 6 Left</t>
  </si>
  <si>
    <t>Day 7 Left</t>
  </si>
  <si>
    <t>Task ID</t>
  </si>
  <si>
    <t>Assigned To</t>
  </si>
  <si>
    <t>Description</t>
  </si>
  <si>
    <t>Write the Customer class</t>
  </si>
  <si>
    <t>Completed Day 1</t>
  </si>
  <si>
    <t>Test each class and method as it is written</t>
  </si>
  <si>
    <t>Write operator&lt;&lt; for Customer</t>
  </si>
  <si>
    <t>Commit and push AT LEAST once every class or update</t>
  </si>
  <si>
    <t>Write Store::add_customer, num_customers, and customer</t>
  </si>
  <si>
    <t>You are free to determine your own algorithm for mapping the (now) 21 days of this sprint to the 7 reporting days – e.g., 1/3 days, the first 7 days you actually do work, etc.</t>
  </si>
  <si>
    <t>Write the Options class sans to_string</t>
  </si>
  <si>
    <t>Write Options::to_string and its operator&lt;&lt;</t>
  </si>
  <si>
    <t>Write Store::add_option (to Store), num_options, and option</t>
  </si>
  <si>
    <t>Write the Desktop class with add_option method</t>
  </si>
  <si>
    <t>Completed Day 3</t>
  </si>
  <si>
    <t>Write the Desktop::price method</t>
  </si>
  <si>
    <t>Write operator&lt;&lt; for Desktop</t>
  </si>
  <si>
    <t>Write Store::new_desktop, add_option (to desktop), num_desktops, and desktop</t>
  </si>
  <si>
    <t>Completed Day 4</t>
  </si>
  <si>
    <t>Write the Order associative class and constructor</t>
  </si>
  <si>
    <t>Write Order::add_product</t>
  </si>
  <si>
    <t>Write Order::price</t>
  </si>
  <si>
    <t>Write Store::new_order, add_desktop, num_orders, and order</t>
  </si>
  <si>
    <t>Completed Day 6</t>
  </si>
  <si>
    <t>Integrate and test with cse1325_prof/elsa/sprint_1/main.cpp</t>
  </si>
  <si>
    <t>Completed Day 7</t>
  </si>
  <si>
    <t>Ensure ALL CODE is on GitHub by deadline!</t>
  </si>
  <si>
    <t>Baseline mainwin.h and .cpp, and main.cpp, from Nim (Lecture 13)</t>
  </si>
  <si>
    <t>Completed Day 2</t>
  </si>
  <si>
    <t>Write set_data and set_msg methods</t>
  </si>
  <si>
    <t>These centralize updating the data areas of the main window</t>
  </si>
  <si>
    <t>Baseline entrydialog.h and .cpp from Lecture 14</t>
  </si>
  <si>
    <t>This replaces std::getline with a simple dialog equivalent</t>
  </si>
  <si>
    <t>Write get_string method</t>
  </si>
  <si>
    <t>This encapsulates EntryDialog with code to just return string</t>
  </si>
  <si>
    <t>Write get_double and get_int methods</t>
  </si>
  <si>
    <t>These use get_string and error handling to return numbers</t>
  </si>
  <si>
    <t>Update mainwin.h to reflect ELSA design</t>
  </si>
  <si>
    <t>Add pointers to store, data area, and status message. Declare observers (callbacks). Comment out toolbard, unless you’d prefer to keep it (it’s a bonus feature!)</t>
  </si>
  <si>
    <t>Update main.cpp to reflect ELSA design</t>
  </si>
  <si>
    <r>
      <rPr>
        <sz val="10"/>
        <rFont val="Arial"/>
        <family val="2"/>
        <charset val="1"/>
      </rPr>
      <t>Basically change 3</t>
    </r>
    <r>
      <rPr>
        <vertAlign val="superscript"/>
        <sz val="10"/>
        <rFont val="Arial"/>
        <family val="2"/>
        <charset val="1"/>
      </rPr>
      <t>rd</t>
    </r>
    <r>
      <rPr>
        <sz val="10"/>
        <rFont val="Arial"/>
        <family val="2"/>
        <charset val="1"/>
      </rPr>
      <t xml:space="preserve"> parameter of Gtk::Application::create</t>
    </r>
  </si>
  <si>
    <t>Iterate through mainwin.cpp, fixing errors until elsa compiles</t>
  </si>
  <si>
    <t>Define empty callbacks. Delete obsolete callbacks. Etc.</t>
  </si>
  <si>
    <t>Modify the main menu code in Mainwin::Mainwin to reflect ELSA</t>
  </si>
  <si>
    <t>Make the UI look and operate correctly, even though nothing happens when you select a menuitem (yet)</t>
  </si>
  <si>
    <t>Copy “create customer” code from previous sprint’s main.cpp, and adapt to GUI’s Insert &gt; Customer callback</t>
  </si>
  <si>
    <t>Use get_string utility method to replace getline calls</t>
  </si>
  <si>
    <t>Copy “show customers” code from previous sprint’s main.cpp, and adapt to GUI’s View &gt; Customer callback</t>
  </si>
  <si>
    <t>Use output string string in place of std::cout, with fixed and setprecision(2), and put result into main data area with Pango. Fix options.cpp formatting bug.</t>
  </si>
  <si>
    <t>Migrate code from main.cpp to mainwin.cpp for Options</t>
  </si>
  <si>
    <t>Migrate code from main.cpp to mainwin.cpp for Desktop</t>
  </si>
  <si>
    <t>Migrate code from main.cpp to mainwin.cpp for Orders</t>
  </si>
  <si>
    <t>Update Help &gt; About code for ELSA</t>
  </si>
  <si>
    <t>Completed Day 5</t>
  </si>
  <si>
    <t>--&gt; Add tasks to complete each feature for this sprint</t>
  </si>
  <si>
    <t>Add Save, New, open and Save as Icon to the file sub menu add easter egg option to help menu on the menu bar.</t>
  </si>
  <si>
    <t xml:space="preserve">write void::save and constructor </t>
  </si>
  <si>
    <t xml:space="preserve">write void::save and constructor in the store class. </t>
  </si>
  <si>
    <t>link save to on_save_click()</t>
  </si>
  <si>
    <t xml:space="preserve"> Write saveas open and new method.</t>
  </si>
  <si>
    <t>Update code to the git</t>
  </si>
  <si>
    <t>Completed in day 1</t>
  </si>
  <si>
    <t>Completed in day 3</t>
  </si>
  <si>
    <t>Completed in day 5</t>
  </si>
  <si>
    <t>Completed in day 6</t>
  </si>
  <si>
    <t>Completed in day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</si>
</sst>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d"/>
    <numFmt numFmtId="165" formatCode="mm/dd/yy\ hh:mm\ AM/PM"/>
  </numFmts>
  <fonts count="13" x14ac:knownFonts="1"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4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FF420E"/>
      <name val="Arial"/>
      <family val="2"/>
      <charset val="1"/>
    </font>
    <font>
      <b/>
      <sz val="12"/>
      <name val="Arial"/>
      <family val="2"/>
      <charset val="1"/>
    </font>
    <font>
      <vertAlign val="superscript"/>
      <sz val="10"/>
      <name val="Arial"/>
      <family val="2"/>
      <charset val="1"/>
    </font>
    <font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98FB98"/>
        <bgColor rgb="FF99FF66"/>
      </patternFill>
    </fill>
    <fill>
      <patternFill patternType="solid">
        <fgColor rgb="FFC0C0C0"/>
        <bgColor rgb="FFB3B3B3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49">
    <xf numFmtId="0" fontId="0" fillId="0" borderId="0" xfId="0"/>
    <xf numFmtId="0" fontId="7" fillId="0" borderId="0" xfId="0" applyFont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6" fillId="3" borderId="0" xfId="0" applyFont="1" applyFill="1" applyBorder="1" applyAlignment="1">
      <alignment vertical="top"/>
    </xf>
    <xf numFmtId="0" fontId="4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1" fillId="3" borderId="1" xfId="0" applyFont="1" applyFill="1" applyBorder="1" applyAlignment="1">
      <alignment vertical="top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0" fillId="0" borderId="3" xfId="0" applyFont="1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3" borderId="3" xfId="0" applyFont="1" applyFill="1" applyBorder="1" applyAlignment="1">
      <alignment horizontal="center" vertical="top"/>
    </xf>
    <xf numFmtId="0" fontId="7" fillId="0" borderId="3" xfId="0" applyFont="1" applyBorder="1" applyAlignment="1">
      <alignment vertical="top"/>
    </xf>
    <xf numFmtId="0" fontId="0" fillId="0" borderId="3" xfId="0" applyFont="1" applyBorder="1" applyAlignment="1">
      <alignment vertical="top" wrapText="1"/>
    </xf>
    <xf numFmtId="0" fontId="0" fillId="4" borderId="3" xfId="0" applyFont="1" applyFill="1" applyBorder="1" applyAlignment="1">
      <alignment vertical="top"/>
    </xf>
    <xf numFmtId="0" fontId="0" fillId="4" borderId="3" xfId="0" applyFill="1" applyBorder="1" applyAlignment="1">
      <alignment horizontal="center" vertical="top"/>
    </xf>
    <xf numFmtId="0" fontId="9" fillId="0" borderId="0" xfId="0" applyFont="1" applyAlignment="1">
      <alignment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0" fillId="3" borderId="0" xfId="0" applyFont="1" applyFill="1" applyAlignment="1">
      <alignment vertical="top"/>
    </xf>
    <xf numFmtId="0" fontId="0" fillId="3" borderId="0" xfId="0" applyFont="1" applyFill="1" applyAlignment="1">
      <alignment vertical="top" wrapText="1"/>
    </xf>
    <xf numFmtId="0" fontId="0" fillId="3" borderId="0" xfId="0" applyFont="1" applyFill="1" applyAlignment="1">
      <alignment horizontal="center"/>
    </xf>
    <xf numFmtId="0" fontId="0" fillId="0" borderId="0" xfId="0" applyFont="1" applyAlignment="1">
      <alignment vertical="top" wrapText="1"/>
    </xf>
    <xf numFmtId="0" fontId="0" fillId="3" borderId="0" xfId="0" applyFill="1" applyAlignment="1">
      <alignment horizontal="center" vertical="top" wrapText="1"/>
    </xf>
    <xf numFmtId="0" fontId="8" fillId="3" borderId="0" xfId="0" applyFont="1" applyFill="1" applyAlignment="1">
      <alignment vertical="top" wrapText="1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98FB9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FF66"/>
      <rgbColor rgb="FFFFCC00"/>
      <rgbColor rgb="FFFF9900"/>
      <rgbColor rgb="FFFF420E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en-US" sz="1300" b="0" strike="noStrike" spc="-1">
                <a:latin typeface="Arial"/>
              </a:rPr>
              <a:t>Product Backlog Burn Chart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229442639340206E-2"/>
          <c:y val="0.161955019474808"/>
          <c:w val="0.88427893026743298"/>
          <c:h val="0.63563261716296005"/>
        </c:manualLayout>
      </c:layout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'Product Backlog'!$A$12:$A$17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'Product Backlog'!$B$12:$B$17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4-4521-B989-0C644E928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21172"/>
        <c:axId val="1615056"/>
      </c:scatterChart>
      <c:valAx>
        <c:axId val="51421172"/>
        <c:scaling>
          <c:orientation val="minMax"/>
          <c:max val="6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Sprints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1615056"/>
        <c:crosses val="autoZero"/>
        <c:crossBetween val="midCat"/>
      </c:valAx>
      <c:valAx>
        <c:axId val="161505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Features Remaining at end of Sprint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5142117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span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en-US" sz="1300" b="0" strike="noStrike" spc="-1">
                <a:latin typeface="Arial"/>
              </a:rPr>
              <a:t>Sprint Burn Chart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01 Backlog'!$B$7:$B$14</c:f>
              <c:numCache>
                <c:formatCode>General</c:formatCode>
                <c:ptCount val="8"/>
                <c:pt idx="0">
                  <c:v>16</c:v>
                </c:pt>
                <c:pt idx="1">
                  <c:v>10</c:v>
                </c:pt>
                <c:pt idx="2">
                  <c:v>10</c:v>
                </c:pt>
                <c:pt idx="3">
                  <c:v>7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5-40D5-9C55-2B2750DD0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36997050"/>
        <c:axId val="99373432"/>
      </c:lineChart>
      <c:catAx>
        <c:axId val="369970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99373432"/>
        <c:crosses val="autoZero"/>
        <c:auto val="1"/>
        <c:lblAlgn val="ctr"/>
        <c:lblOffset val="100"/>
        <c:noMultiLvlLbl val="1"/>
      </c:catAx>
      <c:valAx>
        <c:axId val="9937343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Tasks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3699705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en-US" sz="1300" b="0" strike="noStrike" spc="-1">
                <a:latin typeface="Arial"/>
              </a:rPr>
              <a:t>Sprint Burn Chart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02 Backlog'!$B$7:$B$14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D-4EC9-9FDD-ECA94E40F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69345302"/>
        <c:axId val="94559039"/>
      </c:lineChart>
      <c:catAx>
        <c:axId val="693453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94559039"/>
        <c:crosses val="autoZero"/>
        <c:auto val="1"/>
        <c:lblAlgn val="ctr"/>
        <c:lblOffset val="100"/>
        <c:noMultiLvlLbl val="1"/>
      </c:catAx>
      <c:valAx>
        <c:axId val="9455903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Tasks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6934530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en-US" sz="1300" b="0" strike="noStrike" spc="-1">
                <a:latin typeface="Arial"/>
              </a:rPr>
              <a:t>Sprint Burn Chart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03 Backlog'!$B$7:$B$14</c:f>
              <c:numCache>
                <c:formatCode>General</c:formatCode>
                <c:ptCount val="8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B-467B-BC76-B3CCACF26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94804970"/>
        <c:axId val="29538509"/>
      </c:lineChart>
      <c:catAx>
        <c:axId val="948049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29538509"/>
        <c:crosses val="autoZero"/>
        <c:auto val="1"/>
        <c:lblAlgn val="ctr"/>
        <c:lblOffset val="100"/>
        <c:noMultiLvlLbl val="1"/>
      </c:catAx>
      <c:valAx>
        <c:axId val="2953850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Tasks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9480497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sz="1300" b="0" strike="noStrike" spc="-1">
                <a:latin typeface="Arial"/>
              </a:rPr>
              <a:t>Sprint Burn Chart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04 Backlog'!$B$7:$B$14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DA-46EC-8EBB-A3DF36E02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6696737"/>
        <c:axId val="37449576"/>
      </c:lineChart>
      <c:catAx>
        <c:axId val="66967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sz="900" b="0" strike="noStrike" spc="-1"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37449576"/>
        <c:crosses val="autoZero"/>
        <c:auto val="1"/>
        <c:lblAlgn val="ctr"/>
        <c:lblOffset val="100"/>
        <c:noMultiLvlLbl val="1"/>
      </c:catAx>
      <c:valAx>
        <c:axId val="3744957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sz="900" b="0" strike="noStrike" spc="-1">
                    <a:latin typeface="Arial"/>
                  </a:rPr>
                  <a:t>Tasks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669673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1969560</xdr:colOff>
      <xdr:row>1</xdr:row>
      <xdr:rowOff>46440</xdr:rowOff>
    </xdr:from>
    <xdr:to>
      <xdr:col>10</xdr:col>
      <xdr:colOff>1905120</xdr:colOff>
      <xdr:row>18</xdr:row>
      <xdr:rowOff>119880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1679760</xdr:colOff>
      <xdr:row>2</xdr:row>
      <xdr:rowOff>66240</xdr:rowOff>
    </xdr:from>
    <xdr:to>
      <xdr:col>4</xdr:col>
      <xdr:colOff>1773000</xdr:colOff>
      <xdr:row>13</xdr:row>
      <xdr:rowOff>132480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1679760</xdr:colOff>
      <xdr:row>2</xdr:row>
      <xdr:rowOff>66240</xdr:rowOff>
    </xdr:from>
    <xdr:to>
      <xdr:col>5</xdr:col>
      <xdr:colOff>518040</xdr:colOff>
      <xdr:row>13</xdr:row>
      <xdr:rowOff>132480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1679760</xdr:colOff>
      <xdr:row>2</xdr:row>
      <xdr:rowOff>65880</xdr:rowOff>
    </xdr:from>
    <xdr:to>
      <xdr:col>5</xdr:col>
      <xdr:colOff>514230</xdr:colOff>
      <xdr:row>13</xdr:row>
      <xdr:rowOff>132120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1679760</xdr:colOff>
      <xdr:row>2</xdr:row>
      <xdr:rowOff>65880</xdr:rowOff>
    </xdr:from>
    <xdr:to>
      <xdr:col>5</xdr:col>
      <xdr:colOff>518040</xdr:colOff>
      <xdr:row>13</xdr:row>
      <xdr:rowOff>132120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A1:AMK95"/>
  <sheetViews>
    <sheetView topLeftCell="A4" zoomScale="80" zoomScaleNormal="80" workbookViewId="0">
      <selection activeCell="H6" sqref="H6"/>
    </sheetView>
  </sheetViews>
  <sheetFormatPr defaultRowHeight="12.3" x14ac:dyDescent="0.4"/>
  <cols>
    <col min="1" max="1" width="13.6640625" style="5" customWidth="1"/>
    <col min="2" max="2" width="10.94140625" style="5" customWidth="1"/>
    <col min="3" max="3" width="8.609375" style="5" customWidth="1"/>
    <col min="4" max="4" width="7.109375" style="5" customWidth="1"/>
    <col min="5" max="5" width="4.5" style="5" customWidth="1"/>
    <col min="6" max="6" width="8.38671875" style="5" customWidth="1"/>
    <col min="7" max="7" width="35.0546875" style="5" customWidth="1"/>
    <col min="8" max="8" width="13" style="5" customWidth="1"/>
    <col min="9" max="9" width="45.5546875" style="5" customWidth="1"/>
    <col min="10" max="10" width="37" style="5" customWidth="1"/>
    <col min="11" max="11" width="62.21875" style="5" customWidth="1"/>
    <col min="12" max="1025" width="11.5" style="5"/>
  </cols>
  <sheetData>
    <row r="1" spans="1:10" s="8" customFormat="1" ht="17.7" x14ac:dyDescent="0.4">
      <c r="A1" s="5" t="s">
        <v>0</v>
      </c>
      <c r="B1" s="4" t="s">
        <v>1</v>
      </c>
      <c r="C1" s="4"/>
      <c r="D1" s="4"/>
      <c r="E1" s="4"/>
      <c r="F1" s="4"/>
      <c r="G1" s="4"/>
      <c r="H1" s="6"/>
      <c r="I1" s="7" t="s">
        <v>2</v>
      </c>
      <c r="J1"/>
    </row>
    <row r="2" spans="1:10" s="8" customFormat="1" ht="15" x14ac:dyDescent="0.4">
      <c r="A2" s="5" t="s">
        <v>3</v>
      </c>
      <c r="B2" s="3" t="s">
        <v>4</v>
      </c>
      <c r="C2" s="3"/>
      <c r="D2" s="3"/>
      <c r="E2" s="3"/>
      <c r="F2" s="3"/>
      <c r="G2" s="3"/>
      <c r="H2" s="6"/>
      <c r="I2" s="6"/>
      <c r="J2" s="6"/>
    </row>
    <row r="3" spans="1:10" s="8" customFormat="1" x14ac:dyDescent="0.4">
      <c r="A3" s="5"/>
      <c r="B3" s="5"/>
      <c r="C3" s="6"/>
      <c r="D3" s="6"/>
      <c r="E3" s="6"/>
      <c r="F3" s="6"/>
      <c r="G3" s="6"/>
      <c r="H3" s="6"/>
      <c r="I3" s="6"/>
      <c r="J3" s="6"/>
    </row>
    <row r="4" spans="1:10" s="8" customFormat="1" x14ac:dyDescent="0.4">
      <c r="A4" s="5"/>
      <c r="B4" s="6" t="s">
        <v>5</v>
      </c>
      <c r="C4" s="6"/>
      <c r="D4" s="6"/>
      <c r="E4" s="6"/>
      <c r="F4" s="6"/>
      <c r="G4" s="6"/>
      <c r="H4" s="6" t="s">
        <v>6</v>
      </c>
      <c r="I4" s="6" t="s">
        <v>7</v>
      </c>
      <c r="J4" s="6"/>
    </row>
    <row r="5" spans="1:10" s="8" customFormat="1" x14ac:dyDescent="0.4">
      <c r="A5" s="5" t="s">
        <v>8</v>
      </c>
      <c r="B5" s="2" t="s">
        <v>9</v>
      </c>
      <c r="C5" s="2"/>
      <c r="D5" s="2"/>
      <c r="E5" s="2"/>
      <c r="F5" s="2"/>
      <c r="G5" s="2"/>
      <c r="H5" s="9" t="s">
        <v>10</v>
      </c>
      <c r="I5" s="9">
        <v>1</v>
      </c>
      <c r="J5" s="6"/>
    </row>
    <row r="6" spans="1:10" s="8" customFormat="1" x14ac:dyDescent="0.4">
      <c r="A6"/>
      <c r="B6"/>
      <c r="C6"/>
      <c r="D6"/>
      <c r="E6"/>
      <c r="F6"/>
      <c r="G6"/>
      <c r="H6"/>
      <c r="I6"/>
      <c r="J6" s="6"/>
    </row>
    <row r="7" spans="1:10" s="8" customFormat="1" x14ac:dyDescent="0.4">
      <c r="A7"/>
      <c r="B7"/>
      <c r="C7"/>
      <c r="D7"/>
      <c r="E7"/>
      <c r="F7"/>
      <c r="G7"/>
      <c r="H7"/>
      <c r="I7"/>
      <c r="J7" s="6"/>
    </row>
    <row r="8" spans="1:10" s="8" customFormat="1" x14ac:dyDescent="0.4">
      <c r="A8"/>
      <c r="B8"/>
      <c r="C8"/>
      <c r="D8"/>
      <c r="E8"/>
      <c r="F8"/>
      <c r="G8"/>
      <c r="H8"/>
      <c r="I8"/>
      <c r="J8" s="6"/>
    </row>
    <row r="9" spans="1:10" s="8" customFormat="1" x14ac:dyDescent="0.4">
      <c r="A9"/>
      <c r="B9"/>
      <c r="C9"/>
      <c r="D9"/>
      <c r="E9"/>
      <c r="F9"/>
      <c r="G9"/>
      <c r="H9"/>
      <c r="I9"/>
      <c r="J9" s="6"/>
    </row>
    <row r="10" spans="1:10" s="8" customFormat="1" x14ac:dyDescent="0.4">
      <c r="A10"/>
      <c r="B10"/>
      <c r="C10"/>
      <c r="D10"/>
      <c r="E10"/>
      <c r="F10"/>
      <c r="G10"/>
      <c r="H10"/>
      <c r="I10"/>
      <c r="J10" s="6"/>
    </row>
    <row r="11" spans="1:10" s="8" customFormat="1" x14ac:dyDescent="0.4">
      <c r="A11" s="10" t="s">
        <v>11</v>
      </c>
      <c r="B11" s="11" t="s">
        <v>12</v>
      </c>
      <c r="C11" s="12" t="s">
        <v>13</v>
      </c>
      <c r="D11" s="12"/>
      <c r="E11" s="13"/>
      <c r="F11" s="6"/>
      <c r="G11" s="6" t="s">
        <v>14</v>
      </c>
      <c r="H11" s="6"/>
      <c r="I11" s="6"/>
      <c r="J11" s="6"/>
    </row>
    <row r="12" spans="1:10" s="8" customFormat="1" x14ac:dyDescent="0.4">
      <c r="A12" s="14">
        <v>0</v>
      </c>
      <c r="B12" s="6">
        <f>COUNT(B24:B127)</f>
        <v>22</v>
      </c>
      <c r="C12" s="12"/>
      <c r="D12" s="12"/>
      <c r="E12" s="13"/>
      <c r="F12" s="15" t="s">
        <v>15</v>
      </c>
      <c r="G12" s="6" t="s">
        <v>16</v>
      </c>
      <c r="H12" s="6"/>
      <c r="I12" s="6"/>
      <c r="J12" s="6"/>
    </row>
    <row r="13" spans="1:10" s="8" customFormat="1" x14ac:dyDescent="0.4">
      <c r="A13" s="14">
        <v>1</v>
      </c>
      <c r="B13" s="6">
        <f>B12-C13</f>
        <v>18</v>
      </c>
      <c r="C13" s="12">
        <f>COUNTIF(G$24:G$101,"Finished in Sprint 1")</f>
        <v>4</v>
      </c>
      <c r="D13" s="12"/>
      <c r="E13" s="13"/>
      <c r="F13" s="15">
        <v>1</v>
      </c>
      <c r="G13" s="6" t="s">
        <v>17</v>
      </c>
      <c r="H13" s="6"/>
      <c r="I13" s="6"/>
      <c r="J13" s="6"/>
    </row>
    <row r="14" spans="1:10" s="8" customFormat="1" x14ac:dyDescent="0.4">
      <c r="A14" s="14">
        <v>2</v>
      </c>
      <c r="B14" s="6">
        <f>B13-C14</f>
        <v>14</v>
      </c>
      <c r="C14" s="12">
        <f>COUNTIF(G$24:G$101,"Finished in Sprint 2")</f>
        <v>4</v>
      </c>
      <c r="D14" s="12"/>
      <c r="E14" s="13"/>
      <c r="F14" s="15">
        <v>2</v>
      </c>
      <c r="G14" s="6" t="s">
        <v>18</v>
      </c>
      <c r="H14" s="6"/>
      <c r="I14" s="6"/>
      <c r="J14" s="6"/>
    </row>
    <row r="15" spans="1:10" s="8" customFormat="1" x14ac:dyDescent="0.4">
      <c r="A15" s="14">
        <v>3</v>
      </c>
      <c r="B15" s="6">
        <f>B14-C15</f>
        <v>14</v>
      </c>
      <c r="C15" s="12">
        <f>COUNTIF(G$24:G$101,"Finished in Sprint 3")</f>
        <v>0</v>
      </c>
      <c r="D15" s="12"/>
      <c r="E15" s="13"/>
      <c r="F15" s="15">
        <v>3</v>
      </c>
      <c r="G15" s="6" t="s">
        <v>19</v>
      </c>
      <c r="H15" s="6"/>
      <c r="I15" s="6"/>
      <c r="J15" s="6"/>
    </row>
    <row r="16" spans="1:10" s="8" customFormat="1" x14ac:dyDescent="0.4">
      <c r="A16" s="14">
        <v>4</v>
      </c>
      <c r="B16" s="6">
        <f>B15-C16</f>
        <v>14</v>
      </c>
      <c r="C16" s="12">
        <f>COUNTIF(G$24:G$101,"Finished in Sprint 4")</f>
        <v>0</v>
      </c>
      <c r="D16" s="12"/>
      <c r="E16" s="13"/>
      <c r="F16" s="15"/>
      <c r="G16" s="6"/>
      <c r="H16" s="6"/>
      <c r="I16" s="6"/>
      <c r="J16" s="6"/>
    </row>
    <row r="17" spans="1:11" s="8" customFormat="1" x14ac:dyDescent="0.4">
      <c r="A17" s="14">
        <v>5</v>
      </c>
      <c r="B17" s="6">
        <f>B16-C17</f>
        <v>14</v>
      </c>
      <c r="C17" s="12">
        <f>COUNTIF(G$24:G$101,"Finished in Sprint 4")</f>
        <v>0</v>
      </c>
      <c r="D17" s="12"/>
      <c r="E17" s="13"/>
      <c r="F17" s="15"/>
      <c r="G17" s="6"/>
      <c r="H17" s="6"/>
      <c r="I17" s="6"/>
      <c r="J17" s="6"/>
    </row>
    <row r="18" spans="1:11" s="8" customFormat="1" x14ac:dyDescent="0.4">
      <c r="A18" s="14"/>
      <c r="B18" s="6"/>
      <c r="C18" s="13"/>
      <c r="D18" s="13"/>
      <c r="E18" s="13"/>
      <c r="F18" s="15"/>
      <c r="G18" s="6"/>
      <c r="H18" s="6"/>
      <c r="I18" s="6"/>
      <c r="J18" s="6"/>
    </row>
    <row r="19" spans="1:11" s="8" customFormat="1" x14ac:dyDescent="0.4">
      <c r="A19" s="5"/>
      <c r="B19" s="6"/>
      <c r="C19" s="6"/>
      <c r="D19" s="6"/>
      <c r="E19" s="6"/>
      <c r="F19" s="6"/>
      <c r="G19" s="6"/>
      <c r="H19" s="6"/>
      <c r="I19" s="6"/>
      <c r="J19" s="6"/>
    </row>
    <row r="20" spans="1:11" s="8" customFormat="1" x14ac:dyDescent="0.4">
      <c r="A20" s="5"/>
      <c r="B20" s="6"/>
      <c r="C20" s="6"/>
      <c r="D20" s="6"/>
      <c r="E20" s="6"/>
      <c r="F20" s="6"/>
      <c r="G20" s="6"/>
      <c r="H20" s="16" t="s">
        <v>20</v>
      </c>
      <c r="I20" s="6"/>
      <c r="J20" s="6"/>
    </row>
    <row r="21" spans="1:11" s="8" customFormat="1" x14ac:dyDescent="0.4">
      <c r="A21" s="6"/>
      <c r="B21" s="6"/>
      <c r="C21" s="6"/>
      <c r="D21" s="6"/>
      <c r="E21" s="6"/>
      <c r="F21" s="6"/>
      <c r="G21" s="6"/>
      <c r="H21" s="6" t="s">
        <v>21</v>
      </c>
      <c r="I21" s="6"/>
      <c r="J21" s="6"/>
    </row>
    <row r="22" spans="1:11" s="18" customFormat="1" x14ac:dyDescent="0.4">
      <c r="A22" s="17"/>
      <c r="B22" s="17"/>
      <c r="C22" s="17"/>
      <c r="D22" s="17"/>
      <c r="E22" s="17"/>
      <c r="F22" s="1" t="s">
        <v>22</v>
      </c>
      <c r="G22" s="1"/>
      <c r="H22" s="17"/>
      <c r="I22" s="17"/>
      <c r="J22" s="17"/>
    </row>
    <row r="23" spans="1:11" x14ac:dyDescent="0.4">
      <c r="A23" s="19" t="s">
        <v>23</v>
      </c>
      <c r="B23" s="19" t="s">
        <v>24</v>
      </c>
      <c r="C23" s="19" t="s">
        <v>8</v>
      </c>
      <c r="D23" s="19" t="s">
        <v>25</v>
      </c>
      <c r="E23" s="19" t="s">
        <v>26</v>
      </c>
      <c r="F23" s="19" t="s">
        <v>27</v>
      </c>
      <c r="G23" s="19" t="s">
        <v>28</v>
      </c>
      <c r="H23" s="19" t="s">
        <v>29</v>
      </c>
      <c r="I23" s="19" t="s">
        <v>30</v>
      </c>
      <c r="J23" s="19" t="s">
        <v>31</v>
      </c>
      <c r="K23" s="19" t="s">
        <v>32</v>
      </c>
    </row>
    <row r="24" spans="1:11" x14ac:dyDescent="0.4">
      <c r="A24" s="20" t="s">
        <v>33</v>
      </c>
      <c r="B24" s="21">
        <v>1</v>
      </c>
      <c r="C24" s="21">
        <v>1</v>
      </c>
      <c r="D24" s="21"/>
      <c r="E24" s="21">
        <v>3</v>
      </c>
      <c r="F24" s="22">
        <v>1</v>
      </c>
      <c r="G24" s="23" t="s">
        <v>34</v>
      </c>
      <c r="H24" s="24" t="s">
        <v>35</v>
      </c>
      <c r="I24" s="25" t="s">
        <v>36</v>
      </c>
      <c r="J24" s="25" t="s">
        <v>37</v>
      </c>
      <c r="K24" s="25"/>
    </row>
    <row r="25" spans="1:11" ht="24.6" x14ac:dyDescent="0.4">
      <c r="A25" s="20" t="s">
        <v>38</v>
      </c>
      <c r="B25" s="21">
        <v>2</v>
      </c>
      <c r="C25" s="21">
        <v>1</v>
      </c>
      <c r="D25" s="21"/>
      <c r="E25" s="21">
        <v>8</v>
      </c>
      <c r="F25" s="22">
        <v>1</v>
      </c>
      <c r="G25" s="23" t="s">
        <v>34</v>
      </c>
      <c r="H25" s="24" t="s">
        <v>39</v>
      </c>
      <c r="I25" s="25" t="s">
        <v>40</v>
      </c>
      <c r="J25" s="25" t="s">
        <v>41</v>
      </c>
      <c r="K25" s="25"/>
    </row>
    <row r="26" spans="1:11" ht="24.6" x14ac:dyDescent="0.4">
      <c r="A26" s="20" t="s">
        <v>42</v>
      </c>
      <c r="B26" s="21">
        <v>3</v>
      </c>
      <c r="C26" s="21">
        <v>1</v>
      </c>
      <c r="D26" s="21"/>
      <c r="E26" s="21">
        <v>8</v>
      </c>
      <c r="F26" s="22">
        <v>1</v>
      </c>
      <c r="G26" s="23" t="s">
        <v>34</v>
      </c>
      <c r="H26" s="24" t="s">
        <v>35</v>
      </c>
      <c r="I26" s="25" t="s">
        <v>43</v>
      </c>
      <c r="J26" s="25" t="s">
        <v>44</v>
      </c>
      <c r="K26" s="25"/>
    </row>
    <row r="27" spans="1:11" ht="24.6" x14ac:dyDescent="0.4">
      <c r="A27" s="20" t="s">
        <v>45</v>
      </c>
      <c r="B27" s="21">
        <v>4</v>
      </c>
      <c r="C27" s="21">
        <v>1</v>
      </c>
      <c r="D27" s="21"/>
      <c r="E27" s="21">
        <v>13</v>
      </c>
      <c r="F27" s="22">
        <v>1</v>
      </c>
      <c r="G27" s="23" t="s">
        <v>34</v>
      </c>
      <c r="H27" s="24" t="s">
        <v>35</v>
      </c>
      <c r="I27" s="25" t="s">
        <v>46</v>
      </c>
      <c r="J27" s="25" t="s">
        <v>47</v>
      </c>
      <c r="K27" s="25"/>
    </row>
    <row r="28" spans="1:11" x14ac:dyDescent="0.4">
      <c r="A28" s="26" t="s">
        <v>48</v>
      </c>
      <c r="B28" s="27">
        <v>5</v>
      </c>
      <c r="C28" s="27">
        <v>2</v>
      </c>
      <c r="D28" s="27"/>
      <c r="E28" s="27">
        <v>21</v>
      </c>
      <c r="F28" s="22">
        <v>2</v>
      </c>
      <c r="G28" s="23" t="s">
        <v>49</v>
      </c>
      <c r="H28" s="24" t="s">
        <v>35</v>
      </c>
      <c r="I28" s="25" t="s">
        <v>50</v>
      </c>
      <c r="J28" s="25" t="s">
        <v>51</v>
      </c>
      <c r="K28" s="25" t="s">
        <v>52</v>
      </c>
    </row>
    <row r="29" spans="1:11" x14ac:dyDescent="0.4">
      <c r="A29" s="26" t="s">
        <v>53</v>
      </c>
      <c r="B29" s="27">
        <v>6</v>
      </c>
      <c r="C29" s="27">
        <v>2</v>
      </c>
      <c r="D29" s="27"/>
      <c r="E29" s="27">
        <v>5</v>
      </c>
      <c r="F29" s="22">
        <v>2</v>
      </c>
      <c r="G29" s="23" t="s">
        <v>49</v>
      </c>
      <c r="H29" s="24" t="s">
        <v>35</v>
      </c>
      <c r="I29" s="25" t="s">
        <v>54</v>
      </c>
      <c r="J29" s="25" t="s">
        <v>55</v>
      </c>
      <c r="K29" s="25" t="s">
        <v>56</v>
      </c>
    </row>
    <row r="30" spans="1:11" x14ac:dyDescent="0.4">
      <c r="A30" s="26" t="s">
        <v>57</v>
      </c>
      <c r="B30" s="27">
        <v>7</v>
      </c>
      <c r="C30" s="27">
        <v>2</v>
      </c>
      <c r="D30" s="27"/>
      <c r="E30" s="27">
        <v>8</v>
      </c>
      <c r="F30" s="22">
        <v>2</v>
      </c>
      <c r="G30" s="23" t="s">
        <v>49</v>
      </c>
      <c r="H30" s="24" t="s">
        <v>35</v>
      </c>
      <c r="I30" t="s">
        <v>58</v>
      </c>
      <c r="J30" t="s">
        <v>59</v>
      </c>
      <c r="K30" s="25" t="s">
        <v>60</v>
      </c>
    </row>
    <row r="31" spans="1:11" s="28" customFormat="1" x14ac:dyDescent="0.4">
      <c r="A31" s="26" t="s">
        <v>61</v>
      </c>
      <c r="B31" s="27">
        <v>8</v>
      </c>
      <c r="C31" s="27">
        <v>2</v>
      </c>
      <c r="D31" s="27"/>
      <c r="E31" s="27">
        <v>1</v>
      </c>
      <c r="F31" s="22">
        <v>2</v>
      </c>
      <c r="G31" s="23" t="s">
        <v>49</v>
      </c>
      <c r="H31" s="24" t="s">
        <v>62</v>
      </c>
      <c r="I31" s="25" t="s">
        <v>63</v>
      </c>
      <c r="J31" s="25" t="s">
        <v>64</v>
      </c>
      <c r="K31" s="25"/>
    </row>
    <row r="32" spans="1:11" s="28" customFormat="1" ht="24.6" x14ac:dyDescent="0.4">
      <c r="A32" s="20" t="s">
        <v>65</v>
      </c>
      <c r="B32" s="21">
        <v>9</v>
      </c>
      <c r="C32" s="21">
        <v>3</v>
      </c>
      <c r="D32" s="21"/>
      <c r="E32" s="21">
        <v>13</v>
      </c>
      <c r="F32" s="22"/>
      <c r="G32" s="23"/>
      <c r="H32" s="24" t="s">
        <v>66</v>
      </c>
      <c r="I32" s="25" t="s">
        <v>67</v>
      </c>
      <c r="J32" s="25" t="s">
        <v>68</v>
      </c>
      <c r="K32" s="25" t="s">
        <v>69</v>
      </c>
    </row>
    <row r="33" spans="1:11" s="28" customFormat="1" x14ac:dyDescent="0.4">
      <c r="A33" s="20" t="s">
        <v>70</v>
      </c>
      <c r="B33" s="21">
        <v>10</v>
      </c>
      <c r="C33" s="21">
        <v>3</v>
      </c>
      <c r="D33" s="21"/>
      <c r="E33" s="21">
        <v>5</v>
      </c>
      <c r="F33" s="22"/>
      <c r="G33" s="23"/>
      <c r="H33" s="24" t="s">
        <v>66</v>
      </c>
      <c r="I33" s="25" t="s">
        <v>71</v>
      </c>
      <c r="J33" s="25" t="s">
        <v>68</v>
      </c>
      <c r="K33" s="25" t="s">
        <v>72</v>
      </c>
    </row>
    <row r="34" spans="1:11" s="28" customFormat="1" x14ac:dyDescent="0.4">
      <c r="A34" s="20" t="s">
        <v>73</v>
      </c>
      <c r="B34" s="21">
        <v>11</v>
      </c>
      <c r="C34" s="21">
        <v>3</v>
      </c>
      <c r="D34" s="21"/>
      <c r="E34" s="21">
        <v>8</v>
      </c>
      <c r="F34" s="22"/>
      <c r="G34" s="23"/>
      <c r="H34" s="24" t="s">
        <v>66</v>
      </c>
      <c r="I34" s="25" t="s">
        <v>74</v>
      </c>
      <c r="J34" s="25" t="s">
        <v>68</v>
      </c>
      <c r="K34" s="25" t="s">
        <v>72</v>
      </c>
    </row>
    <row r="35" spans="1:11" x14ac:dyDescent="0.4">
      <c r="A35" s="26" t="s">
        <v>75</v>
      </c>
      <c r="B35" s="27">
        <v>12</v>
      </c>
      <c r="C35" s="27">
        <v>4</v>
      </c>
      <c r="D35" s="27"/>
      <c r="E35" s="27">
        <v>21</v>
      </c>
      <c r="F35" s="22"/>
      <c r="G35" s="23"/>
      <c r="H35" s="24" t="s">
        <v>76</v>
      </c>
      <c r="I35" s="25" t="s">
        <v>77</v>
      </c>
      <c r="J35" s="25" t="s">
        <v>78</v>
      </c>
      <c r="K35" s="25"/>
    </row>
    <row r="36" spans="1:11" s="28" customFormat="1" x14ac:dyDescent="0.4">
      <c r="A36" s="26" t="s">
        <v>79</v>
      </c>
      <c r="B36" s="27">
        <v>13</v>
      </c>
      <c r="C36" s="27">
        <v>4</v>
      </c>
      <c r="D36" s="27"/>
      <c r="E36" s="27">
        <v>8</v>
      </c>
      <c r="F36" s="22"/>
      <c r="G36" s="23"/>
      <c r="H36" s="24" t="s">
        <v>35</v>
      </c>
      <c r="I36" s="25" t="s">
        <v>80</v>
      </c>
      <c r="J36" s="25" t="s">
        <v>81</v>
      </c>
      <c r="K36" s="25"/>
    </row>
    <row r="37" spans="1:11" s="28" customFormat="1" x14ac:dyDescent="0.4">
      <c r="A37" s="20"/>
      <c r="B37" s="21"/>
      <c r="C37" s="21"/>
      <c r="D37" s="21"/>
      <c r="E37" s="21"/>
      <c r="F37" s="22"/>
      <c r="G37" s="23"/>
      <c r="H37" s="24"/>
      <c r="I37" s="25"/>
      <c r="J37" s="25"/>
      <c r="K37" s="25"/>
    </row>
    <row r="38" spans="1:11" s="28" customFormat="1" ht="15" x14ac:dyDescent="0.4">
      <c r="A38" s="20"/>
      <c r="B38" s="21"/>
      <c r="C38" s="21"/>
      <c r="D38" s="21"/>
      <c r="E38" s="21"/>
      <c r="F38" s="22"/>
      <c r="G38" s="23"/>
      <c r="H38" s="24"/>
      <c r="I38" s="29" t="s">
        <v>82</v>
      </c>
      <c r="J38" s="25"/>
      <c r="K38" s="25"/>
    </row>
    <row r="39" spans="1:11" x14ac:dyDescent="0.4">
      <c r="A39" s="30"/>
      <c r="B39" s="21"/>
      <c r="C39" s="21"/>
      <c r="D39" s="21"/>
      <c r="E39" s="21"/>
      <c r="F39" s="22"/>
      <c r="G39" s="23"/>
      <c r="H39" s="24"/>
      <c r="I39" s="25"/>
      <c r="J39" s="25"/>
      <c r="K39" s="25"/>
    </row>
    <row r="40" spans="1:11" x14ac:dyDescent="0.4">
      <c r="A40" s="20" t="s">
        <v>83</v>
      </c>
      <c r="B40" s="21">
        <v>14</v>
      </c>
      <c r="C40" s="21"/>
      <c r="D40" s="21">
        <v>25</v>
      </c>
      <c r="E40" s="21">
        <v>13</v>
      </c>
      <c r="F40" s="22"/>
      <c r="G40" s="23"/>
      <c r="H40" s="24" t="s">
        <v>76</v>
      </c>
      <c r="I40" s="25" t="s">
        <v>84</v>
      </c>
      <c r="J40" s="25" t="s">
        <v>78</v>
      </c>
      <c r="K40" s="25" t="s">
        <v>85</v>
      </c>
    </row>
    <row r="41" spans="1:11" s="28" customFormat="1" x14ac:dyDescent="0.4">
      <c r="A41" s="20" t="s">
        <v>86</v>
      </c>
      <c r="B41" s="21">
        <v>15</v>
      </c>
      <c r="C41" s="21"/>
      <c r="D41" s="21">
        <v>10</v>
      </c>
      <c r="E41" s="21">
        <v>5</v>
      </c>
      <c r="F41" s="22"/>
      <c r="G41" s="23"/>
      <c r="H41" s="24" t="s">
        <v>76</v>
      </c>
      <c r="I41" s="25" t="s">
        <v>87</v>
      </c>
      <c r="J41" s="25" t="s">
        <v>78</v>
      </c>
      <c r="K41" s="25"/>
    </row>
    <row r="42" spans="1:11" s="28" customFormat="1" x14ac:dyDescent="0.4">
      <c r="A42" s="20" t="s">
        <v>88</v>
      </c>
      <c r="B42" s="21">
        <v>16</v>
      </c>
      <c r="C42" s="21"/>
      <c r="D42" s="21">
        <v>15</v>
      </c>
      <c r="E42" s="21">
        <v>8</v>
      </c>
      <c r="F42" s="22"/>
      <c r="G42" s="23"/>
      <c r="H42" s="24" t="s">
        <v>35</v>
      </c>
      <c r="I42" s="25" t="s">
        <v>89</v>
      </c>
      <c r="J42" s="25" t="s">
        <v>81</v>
      </c>
      <c r="K42" s="25"/>
    </row>
    <row r="43" spans="1:11" s="28" customFormat="1" x14ac:dyDescent="0.4">
      <c r="A43" s="20" t="s">
        <v>90</v>
      </c>
      <c r="B43" s="21">
        <v>17</v>
      </c>
      <c r="C43" s="21"/>
      <c r="D43" s="21">
        <v>40</v>
      </c>
      <c r="E43" s="21">
        <v>21</v>
      </c>
      <c r="F43" s="22"/>
      <c r="G43" s="23"/>
      <c r="H43" s="24" t="s">
        <v>35</v>
      </c>
      <c r="I43" s="25" t="s">
        <v>91</v>
      </c>
      <c r="J43" s="25" t="s">
        <v>81</v>
      </c>
      <c r="K43" s="25"/>
    </row>
    <row r="44" spans="1:11" s="28" customFormat="1" x14ac:dyDescent="0.4">
      <c r="A44" s="20" t="s">
        <v>92</v>
      </c>
      <c r="B44" s="21">
        <v>18</v>
      </c>
      <c r="C44" s="21"/>
      <c r="D44" s="21">
        <v>25</v>
      </c>
      <c r="E44" s="21">
        <v>13</v>
      </c>
      <c r="F44" s="22"/>
      <c r="G44" s="23"/>
      <c r="H44" s="24" t="s">
        <v>35</v>
      </c>
      <c r="I44" s="25" t="s">
        <v>93</v>
      </c>
      <c r="J44" s="25" t="s">
        <v>81</v>
      </c>
      <c r="K44" s="25"/>
    </row>
    <row r="45" spans="1:11" s="28" customFormat="1" x14ac:dyDescent="0.4">
      <c r="A45" s="30" t="s">
        <v>94</v>
      </c>
      <c r="B45" s="21">
        <v>19</v>
      </c>
      <c r="C45" s="21"/>
      <c r="D45" s="21">
        <v>10</v>
      </c>
      <c r="E45" s="21">
        <v>5</v>
      </c>
      <c r="F45" s="22"/>
      <c r="G45" s="23"/>
      <c r="H45" s="24" t="s">
        <v>76</v>
      </c>
      <c r="I45" s="25" t="s">
        <v>95</v>
      </c>
      <c r="J45" s="25" t="s">
        <v>96</v>
      </c>
      <c r="K45" s="25" t="s">
        <v>97</v>
      </c>
    </row>
    <row r="46" spans="1:11" ht="24.6" x14ac:dyDescent="0.4">
      <c r="A46" s="30" t="s">
        <v>98</v>
      </c>
      <c r="B46" s="21">
        <v>20</v>
      </c>
      <c r="C46" s="21"/>
      <c r="D46" s="21">
        <v>10</v>
      </c>
      <c r="E46" s="21">
        <v>5</v>
      </c>
      <c r="F46" s="22"/>
      <c r="G46" s="23"/>
      <c r="H46" s="24" t="s">
        <v>76</v>
      </c>
      <c r="I46" s="25" t="s">
        <v>99</v>
      </c>
      <c r="J46" s="25" t="s">
        <v>100</v>
      </c>
      <c r="K46" s="25" t="s">
        <v>101</v>
      </c>
    </row>
    <row r="47" spans="1:11" ht="36.9" x14ac:dyDescent="0.4">
      <c r="A47" s="30" t="s">
        <v>102</v>
      </c>
      <c r="B47" s="21">
        <v>21</v>
      </c>
      <c r="C47" s="21"/>
      <c r="D47" s="21">
        <v>25</v>
      </c>
      <c r="E47" s="21">
        <v>13</v>
      </c>
      <c r="F47" s="22"/>
      <c r="G47" s="23"/>
      <c r="H47" s="24" t="s">
        <v>39</v>
      </c>
      <c r="I47" s="25" t="s">
        <v>103</v>
      </c>
      <c r="J47" s="25" t="s">
        <v>104</v>
      </c>
      <c r="K47" s="25" t="s">
        <v>105</v>
      </c>
    </row>
    <row r="48" spans="1:11" ht="24.6" x14ac:dyDescent="0.4">
      <c r="A48" s="30" t="s">
        <v>106</v>
      </c>
      <c r="B48" s="21">
        <v>22</v>
      </c>
      <c r="C48" s="21"/>
      <c r="D48" s="21">
        <v>15</v>
      </c>
      <c r="E48" s="21">
        <v>8</v>
      </c>
      <c r="F48" s="22"/>
      <c r="G48" s="23"/>
      <c r="H48" s="24" t="s">
        <v>66</v>
      </c>
      <c r="I48" s="25" t="s">
        <v>107</v>
      </c>
      <c r="J48" s="25" t="s">
        <v>108</v>
      </c>
      <c r="K48" s="25" t="s">
        <v>109</v>
      </c>
    </row>
    <row r="49" spans="1:11" x14ac:dyDescent="0.4">
      <c r="A49" s="30"/>
      <c r="B49" s="21"/>
      <c r="C49" s="21"/>
      <c r="D49" s="21"/>
      <c r="E49" s="21"/>
      <c r="F49" s="22"/>
      <c r="G49" s="23"/>
      <c r="H49" s="24"/>
      <c r="I49" s="25"/>
      <c r="J49" s="25"/>
      <c r="K49" s="25"/>
    </row>
    <row r="50" spans="1:11" x14ac:dyDescent="0.4">
      <c r="A50" s="30"/>
      <c r="B50" s="21"/>
      <c r="C50" s="21"/>
      <c r="D50" s="21"/>
      <c r="E50" s="21"/>
      <c r="F50" s="22"/>
      <c r="G50" s="23"/>
      <c r="H50" s="24"/>
      <c r="I50" s="25"/>
      <c r="J50" s="25"/>
      <c r="K50" s="25"/>
    </row>
    <row r="51" spans="1:11" x14ac:dyDescent="0.4">
      <c r="A51" s="30"/>
      <c r="B51" s="21"/>
      <c r="C51" s="21"/>
      <c r="D51" s="21"/>
      <c r="E51" s="21"/>
      <c r="F51" s="22"/>
      <c r="G51" s="23"/>
      <c r="H51" s="24"/>
      <c r="I51" s="25"/>
      <c r="J51" s="25"/>
      <c r="K51" s="25"/>
    </row>
    <row r="52" spans="1:11" x14ac:dyDescent="0.4">
      <c r="A52" s="30"/>
      <c r="B52" s="21"/>
      <c r="C52" s="21"/>
      <c r="D52" s="21"/>
      <c r="E52" s="21"/>
      <c r="F52" s="22"/>
      <c r="G52" s="23"/>
      <c r="H52" s="24"/>
      <c r="I52" s="25"/>
      <c r="J52" s="25"/>
      <c r="K52" s="25"/>
    </row>
    <row r="53" spans="1:11" x14ac:dyDescent="0.4">
      <c r="A53" s="30"/>
      <c r="B53" s="21"/>
      <c r="C53" s="21"/>
      <c r="D53" s="21"/>
      <c r="E53" s="21"/>
      <c r="F53" s="22"/>
      <c r="G53" s="23"/>
      <c r="H53" s="24"/>
      <c r="I53" s="25"/>
      <c r="J53" s="25"/>
      <c r="K53" s="25"/>
    </row>
    <row r="54" spans="1:11" x14ac:dyDescent="0.4">
      <c r="A54" s="30"/>
      <c r="B54" s="21"/>
      <c r="C54" s="21"/>
      <c r="D54" s="21"/>
      <c r="E54" s="21"/>
      <c r="F54" s="22"/>
      <c r="G54" s="23"/>
      <c r="H54" s="24"/>
      <c r="I54" s="25"/>
      <c r="J54" s="25"/>
      <c r="K54" s="25"/>
    </row>
    <row r="55" spans="1:11" x14ac:dyDescent="0.4">
      <c r="A55" s="30"/>
      <c r="B55" s="21"/>
      <c r="C55" s="21"/>
      <c r="D55" s="21"/>
      <c r="E55" s="21"/>
      <c r="F55" s="22"/>
      <c r="G55" s="23"/>
      <c r="H55" s="24"/>
      <c r="I55" s="25"/>
      <c r="J55" s="25"/>
      <c r="K55" s="25"/>
    </row>
    <row r="56" spans="1:11" x14ac:dyDescent="0.4">
      <c r="A56" s="30"/>
      <c r="B56" s="21"/>
      <c r="C56" s="21"/>
      <c r="D56" s="21"/>
      <c r="E56" s="21"/>
      <c r="F56" s="22"/>
      <c r="G56" s="23"/>
      <c r="H56" s="24"/>
      <c r="I56" s="20"/>
      <c r="J56" s="31"/>
      <c r="K56" s="31"/>
    </row>
    <row r="57" spans="1:11" x14ac:dyDescent="0.4">
      <c r="A57" s="30"/>
      <c r="B57" s="21"/>
      <c r="C57" s="21"/>
      <c r="D57" s="21"/>
      <c r="E57" s="21"/>
      <c r="F57" s="22"/>
      <c r="G57" s="23"/>
      <c r="H57" s="24"/>
      <c r="I57" s="20"/>
      <c r="J57" s="31"/>
      <c r="K57" s="31"/>
    </row>
    <row r="58" spans="1:11" x14ac:dyDescent="0.4">
      <c r="A58" s="30"/>
      <c r="B58" s="21"/>
      <c r="C58" s="21"/>
      <c r="D58" s="21"/>
      <c r="E58" s="21"/>
      <c r="F58" s="22"/>
      <c r="G58" s="23"/>
      <c r="H58" s="24"/>
      <c r="I58" s="20"/>
      <c r="J58" s="31"/>
      <c r="K58" s="31"/>
    </row>
    <row r="59" spans="1:11" x14ac:dyDescent="0.4">
      <c r="A59" s="30"/>
      <c r="B59" s="21"/>
      <c r="C59" s="21"/>
      <c r="D59" s="21"/>
      <c r="E59" s="21"/>
      <c r="F59" s="22"/>
      <c r="G59" s="23"/>
      <c r="H59" s="24"/>
      <c r="I59" s="20"/>
      <c r="J59" s="31"/>
      <c r="K59" s="31"/>
    </row>
    <row r="60" spans="1:11" x14ac:dyDescent="0.4">
      <c r="A60" s="30"/>
      <c r="B60" s="21"/>
      <c r="C60" s="21"/>
      <c r="D60" s="21"/>
      <c r="E60" s="21"/>
      <c r="F60" s="22"/>
      <c r="G60" s="23"/>
      <c r="H60" s="24"/>
      <c r="I60" s="20"/>
      <c r="J60" s="25"/>
      <c r="K60" s="31"/>
    </row>
    <row r="61" spans="1:11" x14ac:dyDescent="0.4">
      <c r="A61" s="30"/>
      <c r="B61" s="21"/>
      <c r="C61" s="21"/>
      <c r="D61" s="21"/>
      <c r="E61" s="21"/>
      <c r="F61" s="22"/>
      <c r="G61" s="23"/>
      <c r="H61" s="24"/>
      <c r="I61" s="20"/>
      <c r="J61" s="31"/>
      <c r="K61" s="31"/>
    </row>
    <row r="62" spans="1:11" x14ac:dyDescent="0.4">
      <c r="A62" s="30"/>
      <c r="B62" s="21"/>
      <c r="C62" s="21"/>
      <c r="D62" s="21"/>
      <c r="E62" s="21"/>
      <c r="F62" s="22"/>
      <c r="G62" s="23"/>
      <c r="H62" s="24"/>
      <c r="I62" s="20"/>
      <c r="J62" s="31"/>
      <c r="K62" s="31"/>
    </row>
    <row r="63" spans="1:11" x14ac:dyDescent="0.4">
      <c r="A63" s="30"/>
      <c r="B63" s="21"/>
      <c r="C63" s="21"/>
      <c r="D63" s="21"/>
      <c r="E63" s="21"/>
      <c r="F63" s="22"/>
      <c r="G63" s="23"/>
      <c r="H63" s="24"/>
      <c r="I63" s="20"/>
      <c r="J63" s="31"/>
      <c r="K63" s="31"/>
    </row>
    <row r="64" spans="1:11" x14ac:dyDescent="0.4">
      <c r="A64" s="30"/>
      <c r="B64" s="21"/>
      <c r="C64" s="21"/>
      <c r="D64" s="21"/>
      <c r="E64" s="21"/>
      <c r="F64" s="22"/>
      <c r="G64" s="23"/>
      <c r="H64" s="24"/>
      <c r="I64" s="20"/>
      <c r="J64" s="31"/>
      <c r="K64" s="31"/>
    </row>
    <row r="65" spans="1:11" x14ac:dyDescent="0.4">
      <c r="A65" s="30"/>
      <c r="B65" s="21"/>
      <c r="C65" s="21"/>
      <c r="D65" s="21"/>
      <c r="E65" s="21"/>
      <c r="F65" s="22"/>
      <c r="G65" s="23"/>
      <c r="H65" s="24"/>
      <c r="I65" s="20"/>
      <c r="J65" s="31"/>
      <c r="K65" s="31"/>
    </row>
    <row r="66" spans="1:11" x14ac:dyDescent="0.4">
      <c r="A66" s="30"/>
      <c r="B66" s="21"/>
      <c r="C66" s="21"/>
      <c r="D66" s="21"/>
      <c r="E66" s="21"/>
      <c r="F66" s="22"/>
      <c r="G66" s="23"/>
      <c r="H66" s="24"/>
      <c r="I66" s="20"/>
      <c r="J66" s="31"/>
      <c r="K66" s="31"/>
    </row>
    <row r="67" spans="1:11" x14ac:dyDescent="0.4">
      <c r="A67" s="30"/>
      <c r="B67" s="21"/>
      <c r="C67" s="21"/>
      <c r="D67" s="21"/>
      <c r="E67" s="21"/>
      <c r="F67" s="22"/>
      <c r="G67" s="23"/>
      <c r="H67" s="24"/>
      <c r="I67" s="20"/>
      <c r="J67" s="31"/>
      <c r="K67" s="31"/>
    </row>
    <row r="68" spans="1:11" x14ac:dyDescent="0.4">
      <c r="A68" s="30"/>
      <c r="B68" s="21"/>
      <c r="C68" s="21"/>
      <c r="D68" s="21"/>
      <c r="E68" s="21"/>
      <c r="F68" s="22"/>
      <c r="G68" s="23"/>
      <c r="H68" s="24"/>
      <c r="I68" s="20"/>
      <c r="J68" s="31"/>
      <c r="K68" s="31"/>
    </row>
    <row r="69" spans="1:11" x14ac:dyDescent="0.4">
      <c r="A69" s="30"/>
      <c r="B69" s="21"/>
      <c r="C69" s="21"/>
      <c r="D69" s="21"/>
      <c r="E69" s="21"/>
      <c r="F69" s="22"/>
      <c r="G69" s="23"/>
      <c r="H69" s="24"/>
      <c r="I69" s="20"/>
      <c r="J69" s="31"/>
      <c r="K69" s="31"/>
    </row>
    <row r="70" spans="1:11" x14ac:dyDescent="0.4">
      <c r="A70" s="30"/>
      <c r="B70" s="21"/>
      <c r="C70" s="21"/>
      <c r="D70" s="21"/>
      <c r="E70" s="21"/>
      <c r="F70" s="22"/>
      <c r="G70" s="23"/>
      <c r="H70" s="24"/>
      <c r="I70" s="20"/>
      <c r="J70" s="31"/>
      <c r="K70" s="31"/>
    </row>
    <row r="71" spans="1:11" x14ac:dyDescent="0.4">
      <c r="A71" s="30"/>
      <c r="B71" s="21"/>
      <c r="C71" s="21"/>
      <c r="D71" s="21"/>
      <c r="E71" s="21"/>
      <c r="F71" s="22"/>
      <c r="G71" s="23"/>
      <c r="H71" s="24"/>
      <c r="I71" s="20"/>
      <c r="J71" s="31"/>
      <c r="K71" s="31"/>
    </row>
    <row r="72" spans="1:11" x14ac:dyDescent="0.4">
      <c r="A72" s="30"/>
      <c r="B72" s="21"/>
      <c r="C72" s="21"/>
      <c r="D72" s="21"/>
      <c r="E72" s="21"/>
      <c r="F72" s="22"/>
      <c r="G72" s="23"/>
      <c r="H72" s="24"/>
      <c r="I72" s="20"/>
      <c r="J72" s="31"/>
      <c r="K72" s="31"/>
    </row>
    <row r="73" spans="1:11" x14ac:dyDescent="0.4">
      <c r="A73" s="30"/>
      <c r="B73" s="21"/>
      <c r="C73" s="21"/>
      <c r="D73" s="21"/>
      <c r="E73" s="21"/>
      <c r="F73" s="22"/>
      <c r="G73" s="23"/>
      <c r="H73" s="24"/>
      <c r="I73" s="20"/>
      <c r="J73" s="31"/>
      <c r="K73" s="31"/>
    </row>
    <row r="74" spans="1:11" x14ac:dyDescent="0.4">
      <c r="A74" s="30"/>
      <c r="B74" s="21"/>
      <c r="C74" s="21"/>
      <c r="D74" s="21"/>
      <c r="E74" s="21"/>
      <c r="F74" s="22"/>
      <c r="G74" s="23"/>
      <c r="H74" s="24"/>
      <c r="I74" s="20"/>
      <c r="J74" s="31"/>
      <c r="K74" s="31"/>
    </row>
    <row r="75" spans="1:11" x14ac:dyDescent="0.4">
      <c r="A75" s="30"/>
      <c r="B75" s="21"/>
      <c r="C75" s="21"/>
      <c r="D75" s="21"/>
      <c r="E75" s="21"/>
      <c r="F75" s="22"/>
      <c r="G75" s="23"/>
      <c r="H75" s="24"/>
      <c r="I75" s="20"/>
      <c r="J75" s="31"/>
      <c r="K75" s="31"/>
    </row>
    <row r="76" spans="1:11" x14ac:dyDescent="0.4">
      <c r="A76" s="30"/>
      <c r="B76" s="21"/>
      <c r="C76" s="21"/>
      <c r="D76" s="21"/>
      <c r="E76" s="21"/>
      <c r="F76" s="22"/>
      <c r="G76" s="23"/>
      <c r="H76" s="24"/>
      <c r="I76" s="20"/>
      <c r="J76" s="31"/>
      <c r="K76" s="31"/>
    </row>
    <row r="77" spans="1:11" x14ac:dyDescent="0.4">
      <c r="A77" s="30"/>
      <c r="B77" s="21"/>
      <c r="C77" s="21"/>
      <c r="D77" s="21"/>
      <c r="E77" s="21"/>
      <c r="F77" s="22"/>
      <c r="G77" s="23"/>
      <c r="H77" s="24"/>
      <c r="I77" s="20"/>
      <c r="J77" s="31"/>
      <c r="K77" s="31"/>
    </row>
    <row r="78" spans="1:11" x14ac:dyDescent="0.4">
      <c r="A78" s="30"/>
      <c r="B78" s="21"/>
      <c r="C78" s="21"/>
      <c r="D78" s="21"/>
      <c r="E78" s="21"/>
      <c r="F78" s="22"/>
      <c r="G78" s="23"/>
      <c r="H78" s="24"/>
      <c r="I78" s="20"/>
      <c r="J78" s="31"/>
      <c r="K78" s="31"/>
    </row>
    <row r="79" spans="1:11" x14ac:dyDescent="0.4">
      <c r="A79" s="30"/>
      <c r="B79" s="21"/>
      <c r="C79" s="21"/>
      <c r="D79" s="21"/>
      <c r="E79" s="21"/>
      <c r="F79" s="22"/>
      <c r="G79" s="23"/>
      <c r="H79" s="24"/>
      <c r="I79" s="20"/>
      <c r="J79" s="31"/>
      <c r="K79" s="31"/>
    </row>
    <row r="80" spans="1:11" x14ac:dyDescent="0.4">
      <c r="A80" s="30"/>
      <c r="B80" s="21"/>
      <c r="C80" s="21"/>
      <c r="D80" s="21"/>
      <c r="E80" s="21"/>
      <c r="F80" s="22"/>
      <c r="G80" s="23"/>
      <c r="H80" s="24"/>
      <c r="I80" s="20"/>
      <c r="J80" s="31"/>
      <c r="K80" s="31"/>
    </row>
    <row r="81" spans="1:11" x14ac:dyDescent="0.4">
      <c r="A81" s="30"/>
      <c r="B81" s="21"/>
      <c r="C81" s="21"/>
      <c r="D81" s="21"/>
      <c r="E81" s="21"/>
      <c r="F81" s="22"/>
      <c r="G81" s="23"/>
      <c r="H81" s="24"/>
      <c r="I81" s="20"/>
      <c r="J81" s="31"/>
      <c r="K81" s="31"/>
    </row>
    <row r="82" spans="1:11" x14ac:dyDescent="0.4">
      <c r="A82" s="30"/>
      <c r="B82" s="21"/>
      <c r="C82" s="21"/>
      <c r="D82" s="21"/>
      <c r="E82" s="21"/>
      <c r="F82" s="22"/>
      <c r="G82" s="23"/>
      <c r="H82" s="24"/>
      <c r="I82" s="20"/>
      <c r="J82" s="31"/>
      <c r="K82" s="31"/>
    </row>
    <row r="83" spans="1:11" x14ac:dyDescent="0.4">
      <c r="A83" s="30"/>
      <c r="B83" s="21"/>
      <c r="C83" s="21"/>
      <c r="D83" s="21"/>
      <c r="E83" s="21"/>
      <c r="F83" s="22"/>
      <c r="G83" s="23"/>
      <c r="H83" s="24"/>
      <c r="I83" s="20"/>
      <c r="J83" s="31"/>
      <c r="K83" s="31"/>
    </row>
    <row r="84" spans="1:11" x14ac:dyDescent="0.4">
      <c r="A84" s="30"/>
      <c r="B84" s="21"/>
      <c r="C84" s="21"/>
      <c r="D84" s="21"/>
      <c r="E84" s="21"/>
      <c r="F84" s="22"/>
      <c r="G84" s="23"/>
      <c r="H84" s="24"/>
      <c r="I84" s="20"/>
      <c r="J84" s="31"/>
      <c r="K84" s="31"/>
    </row>
    <row r="85" spans="1:11" x14ac:dyDescent="0.4">
      <c r="A85" s="30"/>
      <c r="B85" s="21"/>
      <c r="C85" s="21"/>
      <c r="D85" s="21"/>
      <c r="E85" s="21"/>
      <c r="F85" s="22"/>
      <c r="G85" s="23"/>
      <c r="H85" s="24"/>
      <c r="I85" s="20"/>
      <c r="J85" s="31"/>
      <c r="K85" s="31"/>
    </row>
    <row r="86" spans="1:11" x14ac:dyDescent="0.4">
      <c r="A86" s="30"/>
      <c r="B86" s="21"/>
      <c r="C86" s="21"/>
      <c r="D86" s="21"/>
      <c r="E86" s="21"/>
      <c r="F86" s="22"/>
      <c r="G86" s="23"/>
      <c r="H86" s="24"/>
      <c r="I86" s="20"/>
      <c r="J86" s="31"/>
      <c r="K86" s="31"/>
    </row>
    <row r="87" spans="1:11" x14ac:dyDescent="0.4">
      <c r="A87" s="30"/>
      <c r="B87" s="21"/>
      <c r="C87" s="21"/>
      <c r="D87" s="21"/>
      <c r="E87" s="21"/>
      <c r="F87" s="22"/>
      <c r="G87" s="23"/>
      <c r="H87" s="24"/>
      <c r="I87" s="20"/>
      <c r="J87" s="31"/>
      <c r="K87" s="31"/>
    </row>
    <row r="88" spans="1:11" x14ac:dyDescent="0.4">
      <c r="A88" s="30"/>
      <c r="B88" s="21"/>
      <c r="C88" s="21"/>
      <c r="D88" s="21"/>
      <c r="E88" s="21"/>
      <c r="F88" s="22"/>
      <c r="G88" s="23"/>
      <c r="H88" s="24"/>
      <c r="I88" s="20"/>
      <c r="J88" s="31"/>
      <c r="K88" s="31"/>
    </row>
    <row r="89" spans="1:11" x14ac:dyDescent="0.4">
      <c r="A89" s="30"/>
      <c r="B89" s="21"/>
      <c r="C89" s="21"/>
      <c r="D89" s="21"/>
      <c r="E89" s="21"/>
      <c r="F89" s="22"/>
      <c r="G89" s="23"/>
      <c r="H89" s="24"/>
      <c r="I89" s="20"/>
      <c r="J89" s="31"/>
      <c r="K89" s="31"/>
    </row>
    <row r="90" spans="1:11" x14ac:dyDescent="0.4">
      <c r="A90" s="30"/>
      <c r="B90" s="21"/>
      <c r="C90" s="21"/>
      <c r="D90" s="21"/>
      <c r="E90" s="21"/>
      <c r="F90" s="22"/>
      <c r="G90" s="23"/>
      <c r="H90" s="24"/>
      <c r="I90" s="20"/>
      <c r="J90" s="31"/>
      <c r="K90" s="31"/>
    </row>
    <row r="91" spans="1:11" x14ac:dyDescent="0.4">
      <c r="A91" s="30"/>
      <c r="B91" s="21"/>
      <c r="C91" s="21"/>
      <c r="D91" s="21"/>
      <c r="E91" s="21"/>
      <c r="F91" s="22"/>
      <c r="G91" s="23"/>
      <c r="H91" s="24"/>
      <c r="I91" s="20"/>
      <c r="J91" s="31"/>
      <c r="K91" s="31"/>
    </row>
    <row r="92" spans="1:11" x14ac:dyDescent="0.4">
      <c r="A92" s="30"/>
      <c r="B92" s="21"/>
      <c r="C92" s="21"/>
      <c r="D92" s="21"/>
      <c r="E92" s="21"/>
      <c r="F92" s="22"/>
      <c r="G92" s="23"/>
      <c r="H92" s="24"/>
      <c r="I92" s="20"/>
      <c r="J92" s="31"/>
      <c r="K92" s="31"/>
    </row>
    <row r="93" spans="1:11" x14ac:dyDescent="0.4">
      <c r="A93" s="30"/>
      <c r="B93" s="21"/>
      <c r="C93" s="21"/>
      <c r="D93" s="21"/>
      <c r="E93" s="21"/>
      <c r="F93" s="22"/>
      <c r="G93" s="23"/>
      <c r="H93" s="24"/>
      <c r="I93" s="20"/>
      <c r="J93" s="31"/>
      <c r="K93" s="31"/>
    </row>
    <row r="94" spans="1:11" x14ac:dyDescent="0.4">
      <c r="A94" s="30"/>
      <c r="B94" s="21"/>
      <c r="C94" s="21"/>
      <c r="D94" s="21"/>
      <c r="E94" s="21"/>
      <c r="F94" s="22"/>
      <c r="G94" s="23"/>
      <c r="H94" s="24"/>
      <c r="I94" s="20"/>
      <c r="J94" s="31"/>
      <c r="K94" s="31"/>
    </row>
    <row r="95" spans="1:11" x14ac:dyDescent="0.4">
      <c r="A95" s="30"/>
      <c r="B95" s="21"/>
      <c r="C95" s="21"/>
      <c r="D95" s="21"/>
      <c r="E95" s="21"/>
      <c r="F95" s="22"/>
      <c r="G95" s="23"/>
      <c r="H95" s="24"/>
      <c r="I95" s="20"/>
      <c r="J95" s="31"/>
      <c r="K95" s="31"/>
    </row>
  </sheetData>
  <mergeCells count="4">
    <mergeCell ref="B1:G1"/>
    <mergeCell ref="B2:G2"/>
    <mergeCell ref="B5:G5"/>
    <mergeCell ref="F22:G22"/>
  </mergeCells>
  <dataValidations count="15">
    <dataValidation operator="equal" allowBlank="1" showErrorMessage="1" sqref="B1" xr:uid="{00000000-0002-0000-0000-000000000000}">
      <formula1>0</formula1>
      <formula2>0</formula2>
    </dataValidation>
    <dataValidation operator="equal" allowBlank="1" showInputMessage="1" showErrorMessage="1" promptTitle="Initials" prompt="Please enter 2 or 3 capital letters that will represent you  in the &quot;Assigned To&quot; column on each Sprint Backlog tab of this spreadsheet." sqref="H5" xr:uid="{00000000-0002-0000-0000-000001000000}">
      <formula1>0</formula1>
      <formula2>0</formula2>
    </dataValidation>
    <dataValidation operator="equal" allowBlank="1" showInputMessage="1" showErrorMessage="1" promptTitle="Student ID" prompt="Please enter your UTA student ID number." sqref="I5" xr:uid="{00000000-0002-0000-0000-000002000000}">
      <formula1>0</formula1>
      <formula2>0</formula2>
    </dataValidation>
    <dataValidation operator="equal" allowBlank="1" showInputMessage="1" showErrorMessage="1" promptTitle="Relative Priority" prompt="This is the priority ranking for this feature, relative to all other features._x000a__x000a_Lower integers are higher in prioirty._x000a__x000a_The customer may add or (for unimplemented features) remove features and change priority rankings at the start of each sprint." sqref="B24:B95" xr:uid="{00000000-0002-0000-0000-000003000000}">
      <formula1>0</formula1>
      <formula2>0</formula2>
    </dataValidation>
    <dataValidation operator="equal" allowBlank="1" showInputMessage="1" showErrorMessage="1" promptTitle="Required Sprint" sqref="C24:C95" xr:uid="{00000000-0002-0000-0000-000004000000}">
      <formula1>0</formula1>
      <formula2>0</formula2>
    </dataValidation>
    <dataValidation operator="equal" allowBlank="1" showInputMessage="1" showErrorMessage="1" promptTitle="Max Bonus Points" sqref="D24:D95" xr:uid="{00000000-0002-0000-0000-000005000000}">
      <formula1>0</formula1>
      <formula2>0</formula2>
    </dataValidation>
    <dataValidation type="list" operator="equal" allowBlank="1" showInputMessage="1" showErrorMessage="1" promptTitle="Estimate" sqref="E24:E95" xr:uid="{00000000-0002-0000-0000-000006000000}">
      <formula1>"0,1,2,3,5,8,13,21,34,55,89"</formula1>
      <formula2>0</formula2>
    </dataValidation>
    <dataValidation type="list" operator="equal" allowBlank="1" showInputMessage="1" showErrorMessage="1" errorTitle="Wrong Value" error="This cell may only contain a valid status value (hint: use the drop-down selection list) or be left blank (hint: use the Delete key)" promptTitle="Implementation Sprint" sqref="F28:F95" xr:uid="{00000000-0002-0000-0000-000007000000}">
      <formula1>"1,2,3,4"</formula1>
      <formula2>0</formula2>
    </dataValidation>
    <dataValidation type="list" operator="equal" allowBlank="1" showInputMessage="1" showErrorMessage="1" errorTitle="Wrong Value" error="This cell may only contain a valid status value (hint: use the drop-down selection list) or be left blank (hint: use the Delete key)" promptTitle="Implementation Status" sqref="G28:G95" xr:uid="{00000000-0002-0000-0000-000008000000}">
      <formula1>"In Work,In Test,Finished in Sprint 1,Finished in Sprint 2,Finished in Sprint 3,Finished in Sprint 4"</formula1>
      <formula2>0</formula2>
    </dataValidation>
    <dataValidation type="list" operator="equal" allowBlank="1" showErrorMessage="1" sqref="H24:H31 H35:H95" xr:uid="{00000000-0002-0000-0000-000009000000}">
      <formula1>"Customer,Sales Staff,Inventory,Manager,Director"</formula1>
      <formula2>0</formula2>
    </dataValidation>
    <dataValidation type="list" operator="equal" allowBlank="1" showErrorMessage="1" sqref="H32:H34" xr:uid="{00000000-0002-0000-0000-00000B000000}">
      <formula1>"User,Client,Staff,Manager,Director"</formula1>
      <formula2>0</formula2>
    </dataValidation>
    <dataValidation type="list" operator="equal" allowBlank="1" showInputMessage="1" showErrorMessage="1" errorTitle="Wrong Value" error="This cell may only contain a valid status value (hint: use the drop-down selection list) or be left blank (hint: use the Delete key)" promptTitle="Implementation Sprint" sqref="F24:F27" xr:uid="{00000000-0002-0000-0000-00000C000000}">
      <formula1>"1,2,3,4,5"</formula1>
      <formula2>0</formula2>
    </dataValidation>
    <dataValidation type="list" operator="equal" allowBlank="1" showInputMessage="1" showErrorMessage="1" errorTitle="Wrong Value" error="This cell may only contain a valid status value (hint: use the drop-down selection list) or be left blank (hint: use the Delete key)" promptTitle="Implementation Status" sqref="G24:G27" xr:uid="{00000000-0002-0000-0000-00000D000000}">
      <formula1>"In Work,In Test,Finished in Sprint 1,Finished in Sprint 2,Finished in Sprint 3,Finished in Sprint 4,Finished in Sprint 5"</formula1>
      <formula2>0</formula2>
    </dataValidation>
    <dataValidation operator="equal" allowBlank="1" showInputMessage="1" showErrorMessage="1" promptTitle="Name" prompt="Select any team name you prefer." sqref="B2" xr:uid="{00000000-0002-0000-0000-00000E000000}">
      <formula1>0</formula1>
      <formula2>0</formula2>
    </dataValidation>
    <dataValidation operator="equal" allowBlank="1" showInputMessage="1" showErrorMessage="1" promptTitle="Name" prompt="Please enter your name as it appears in Blackboard." sqref="B5" xr:uid="{00000000-0002-0000-0000-00000F000000}">
      <formula1>0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0"/>
  <sheetViews>
    <sheetView zoomScale="80" zoomScaleNormal="80" workbookViewId="0">
      <selection activeCell="F30" sqref="F30"/>
    </sheetView>
  </sheetViews>
  <sheetFormatPr defaultRowHeight="12.3" x14ac:dyDescent="0.4"/>
  <cols>
    <col min="1" max="1" width="10.33203125" customWidth="1"/>
    <col min="2" max="2" width="11.5"/>
    <col min="3" max="3" width="12.27734375" customWidth="1"/>
    <col min="4" max="4" width="51.83203125" customWidth="1"/>
    <col min="5" max="5" width="28.83203125" customWidth="1"/>
    <col min="6" max="6" width="51.83203125" style="32" customWidth="1"/>
    <col min="7" max="1025" width="11.5"/>
  </cols>
  <sheetData>
    <row r="1" spans="1:1024" s="36" customFormat="1" ht="17.7" x14ac:dyDescent="0.6">
      <c r="A1" s="33" t="s">
        <v>11</v>
      </c>
      <c r="B1" s="33">
        <v>1</v>
      </c>
      <c r="C1" s="33"/>
      <c r="D1" s="34" t="s">
        <v>2</v>
      </c>
      <c r="E1"/>
      <c r="F1" s="35"/>
      <c r="AMI1"/>
      <c r="AMJ1"/>
    </row>
    <row r="2" spans="1:1024" s="36" customFormat="1" x14ac:dyDescent="0.4">
      <c r="A2" s="33" t="s">
        <v>110</v>
      </c>
      <c r="B2" s="37">
        <v>43893</v>
      </c>
      <c r="C2" s="33"/>
      <c r="D2" s="38" t="s">
        <v>111</v>
      </c>
      <c r="E2" s="33"/>
      <c r="F2" s="35"/>
      <c r="AMI2"/>
      <c r="AMJ2"/>
    </row>
    <row r="3" spans="1:1024" s="36" customFormat="1" x14ac:dyDescent="0.4">
      <c r="A3" s="33" t="s">
        <v>112</v>
      </c>
      <c r="B3" s="37">
        <f>B2+21</f>
        <v>43914</v>
      </c>
      <c r="C3" s="33"/>
      <c r="D3" s="33"/>
      <c r="E3" s="33"/>
      <c r="F3" s="35"/>
      <c r="AMI3"/>
      <c r="AMJ3"/>
    </row>
    <row r="4" spans="1:1024" s="36" customFormat="1" x14ac:dyDescent="0.4">
      <c r="A4" s="33" t="s">
        <v>113</v>
      </c>
      <c r="B4" s="39" t="s">
        <v>114</v>
      </c>
      <c r="C4" s="33"/>
      <c r="D4" s="33"/>
      <c r="E4" s="33"/>
      <c r="F4" s="35"/>
      <c r="AMI4"/>
      <c r="AMJ4"/>
    </row>
    <row r="5" spans="1:1024" s="36" customFormat="1" x14ac:dyDescent="0.4">
      <c r="A5" s="33"/>
      <c r="B5" s="39"/>
      <c r="C5" s="33"/>
      <c r="D5" s="33"/>
      <c r="E5" s="33"/>
      <c r="F5" s="35"/>
      <c r="AMI5"/>
      <c r="AMJ5"/>
    </row>
    <row r="6" spans="1:1024" s="36" customFormat="1" x14ac:dyDescent="0.4">
      <c r="A6" s="33"/>
      <c r="B6" s="40" t="s">
        <v>12</v>
      </c>
      <c r="C6" s="33" t="s">
        <v>115</v>
      </c>
      <c r="D6" s="33"/>
      <c r="E6" s="33"/>
      <c r="F6" s="35"/>
      <c r="AMI6"/>
      <c r="AMJ6"/>
    </row>
    <row r="7" spans="1:1024" s="36" customFormat="1" x14ac:dyDescent="0.4">
      <c r="A7" s="33" t="s">
        <v>116</v>
      </c>
      <c r="B7" s="33">
        <f>COUNTA(D17:D995)</f>
        <v>16</v>
      </c>
      <c r="C7" s="33"/>
      <c r="D7" s="33"/>
      <c r="E7" s="33"/>
      <c r="F7" s="35"/>
      <c r="AMI7"/>
      <c r="AMJ7"/>
    </row>
    <row r="8" spans="1:1024" s="36" customFormat="1" x14ac:dyDescent="0.4">
      <c r="A8" s="33" t="s">
        <v>117</v>
      </c>
      <c r="B8" s="33">
        <f t="shared" ref="B8:B14" si="0">B7-C8</f>
        <v>10</v>
      </c>
      <c r="C8" s="33">
        <f>COUNTIF(E$17:E$995, "Completed Day 1")</f>
        <v>6</v>
      </c>
      <c r="D8" s="33"/>
      <c r="E8" s="33"/>
      <c r="F8" s="35"/>
      <c r="AMI8"/>
      <c r="AMJ8"/>
    </row>
    <row r="9" spans="1:1024" s="36" customFormat="1" x14ac:dyDescent="0.4">
      <c r="A9" s="33" t="s">
        <v>118</v>
      </c>
      <c r="B9" s="33">
        <f t="shared" si="0"/>
        <v>10</v>
      </c>
      <c r="C9" s="33">
        <f>COUNTIF(E$17:E$995, "Completed Day 2")</f>
        <v>0</v>
      </c>
      <c r="D9" s="33"/>
      <c r="E9" s="33"/>
      <c r="F9" s="35"/>
      <c r="AMI9"/>
      <c r="AMJ9"/>
    </row>
    <row r="10" spans="1:1024" s="36" customFormat="1" x14ac:dyDescent="0.4">
      <c r="A10" s="33" t="s">
        <v>119</v>
      </c>
      <c r="B10" s="33">
        <f t="shared" si="0"/>
        <v>7</v>
      </c>
      <c r="C10" s="33">
        <f>COUNTIF(E$17:E$995, "Completed Day 3")</f>
        <v>3</v>
      </c>
      <c r="D10" s="33"/>
      <c r="E10" s="33"/>
      <c r="F10" s="35"/>
      <c r="AMI10"/>
      <c r="AMJ10"/>
    </row>
    <row r="11" spans="1:1024" s="36" customFormat="1" x14ac:dyDescent="0.4">
      <c r="A11" s="33" t="s">
        <v>120</v>
      </c>
      <c r="B11" s="33">
        <f t="shared" si="0"/>
        <v>3</v>
      </c>
      <c r="C11" s="33">
        <f>COUNTIF(E$17:E$995, "Completed Day 4")</f>
        <v>4</v>
      </c>
      <c r="D11" s="33"/>
      <c r="E11" s="33"/>
      <c r="F11" s="35"/>
      <c r="AMI11"/>
      <c r="AMJ11"/>
    </row>
    <row r="12" spans="1:1024" s="36" customFormat="1" x14ac:dyDescent="0.4">
      <c r="A12" s="33" t="s">
        <v>121</v>
      </c>
      <c r="B12" s="33">
        <f t="shared" si="0"/>
        <v>3</v>
      </c>
      <c r="C12" s="33">
        <f>COUNTIF(E$17:E$995, "Completed Day 5")</f>
        <v>0</v>
      </c>
      <c r="D12" s="33"/>
      <c r="E12" s="33"/>
      <c r="F12" s="35"/>
      <c r="AMI12"/>
      <c r="AMJ12"/>
    </row>
    <row r="13" spans="1:1024" s="36" customFormat="1" x14ac:dyDescent="0.4">
      <c r="A13" s="33" t="s">
        <v>122</v>
      </c>
      <c r="B13" s="33">
        <f t="shared" si="0"/>
        <v>2</v>
      </c>
      <c r="C13" s="33">
        <f>COUNTIF(E$17:E$995, "Completed Day 6")</f>
        <v>1</v>
      </c>
      <c r="D13" s="33"/>
      <c r="E13" s="33"/>
      <c r="F13" s="35"/>
      <c r="AMI13"/>
      <c r="AMJ13"/>
    </row>
    <row r="14" spans="1:1024" s="36" customFormat="1" x14ac:dyDescent="0.4">
      <c r="A14" s="33" t="s">
        <v>123</v>
      </c>
      <c r="B14" s="33">
        <f t="shared" si="0"/>
        <v>0</v>
      </c>
      <c r="C14" s="33">
        <f>COUNTIF(E$17:E$995, "Completed Day 7")</f>
        <v>2</v>
      </c>
      <c r="D14" s="33"/>
      <c r="E14" s="33"/>
      <c r="F14" s="35"/>
      <c r="AMI14"/>
      <c r="AMJ14"/>
    </row>
    <row r="15" spans="1:1024" s="36" customFormat="1" x14ac:dyDescent="0.4">
      <c r="A15" s="33"/>
      <c r="B15" s="33"/>
      <c r="C15" s="33"/>
      <c r="D15" s="33"/>
      <c r="E15" s="33"/>
      <c r="F15" s="35"/>
      <c r="AMI15"/>
      <c r="AMJ15"/>
    </row>
    <row r="16" spans="1:1024" x14ac:dyDescent="0.4">
      <c r="A16" s="41" t="s">
        <v>124</v>
      </c>
      <c r="B16" s="41" t="s">
        <v>23</v>
      </c>
      <c r="C16" s="41" t="s">
        <v>125</v>
      </c>
      <c r="D16" s="41" t="s">
        <v>126</v>
      </c>
      <c r="E16" s="41" t="s">
        <v>28</v>
      </c>
      <c r="F16" s="42" t="s">
        <v>32</v>
      </c>
    </row>
    <row r="17" spans="1:6" x14ac:dyDescent="0.4">
      <c r="A17" s="5">
        <v>1</v>
      </c>
      <c r="B17" s="43" t="s">
        <v>33</v>
      </c>
      <c r="C17" s="5"/>
      <c r="D17" s="44" t="s">
        <v>127</v>
      </c>
      <c r="E17" s="45" t="s">
        <v>128</v>
      </c>
      <c r="F17" s="46" t="s">
        <v>129</v>
      </c>
    </row>
    <row r="18" spans="1:6" x14ac:dyDescent="0.4">
      <c r="A18" s="5">
        <v>2</v>
      </c>
      <c r="B18" s="43" t="s">
        <v>33</v>
      </c>
      <c r="C18" s="5"/>
      <c r="D18" s="44" t="s">
        <v>130</v>
      </c>
      <c r="E18" s="45" t="s">
        <v>128</v>
      </c>
      <c r="F18" s="46" t="s">
        <v>131</v>
      </c>
    </row>
    <row r="19" spans="1:6" ht="36.9" x14ac:dyDescent="0.4">
      <c r="A19" s="5">
        <v>3</v>
      </c>
      <c r="B19" s="43" t="s">
        <v>33</v>
      </c>
      <c r="C19" s="5"/>
      <c r="D19" s="44" t="s">
        <v>132</v>
      </c>
      <c r="E19" s="45" t="s">
        <v>128</v>
      </c>
      <c r="F19" s="46" t="s">
        <v>133</v>
      </c>
    </row>
    <row r="20" spans="1:6" x14ac:dyDescent="0.4">
      <c r="A20" s="5">
        <v>4</v>
      </c>
      <c r="B20" s="43" t="s">
        <v>38</v>
      </c>
      <c r="C20" s="5"/>
      <c r="D20" s="44" t="s">
        <v>134</v>
      </c>
      <c r="E20" s="45" t="s">
        <v>128</v>
      </c>
      <c r="F20" s="46"/>
    </row>
    <row r="21" spans="1:6" x14ac:dyDescent="0.4">
      <c r="A21" s="5">
        <v>5</v>
      </c>
      <c r="B21" s="43" t="s">
        <v>38</v>
      </c>
      <c r="C21" s="5"/>
      <c r="D21" s="44" t="s">
        <v>135</v>
      </c>
      <c r="E21" s="45" t="s">
        <v>128</v>
      </c>
      <c r="F21" s="46"/>
    </row>
    <row r="22" spans="1:6" x14ac:dyDescent="0.4">
      <c r="A22" s="5">
        <v>6</v>
      </c>
      <c r="B22" s="43" t="s">
        <v>38</v>
      </c>
      <c r="C22" s="5"/>
      <c r="D22" s="44" t="s">
        <v>136</v>
      </c>
      <c r="E22" s="45" t="s">
        <v>128</v>
      </c>
      <c r="F22" s="46"/>
    </row>
    <row r="23" spans="1:6" x14ac:dyDescent="0.4">
      <c r="A23" s="5">
        <v>7</v>
      </c>
      <c r="B23" s="43" t="s">
        <v>42</v>
      </c>
      <c r="C23" s="5"/>
      <c r="D23" s="44" t="s">
        <v>137</v>
      </c>
      <c r="E23" s="45" t="s">
        <v>138</v>
      </c>
      <c r="F23" s="46"/>
    </row>
    <row r="24" spans="1:6" x14ac:dyDescent="0.4">
      <c r="A24" s="5">
        <v>8</v>
      </c>
      <c r="B24" s="43" t="s">
        <v>42</v>
      </c>
      <c r="C24" s="5"/>
      <c r="D24" s="44" t="s">
        <v>139</v>
      </c>
      <c r="E24" s="45" t="s">
        <v>138</v>
      </c>
      <c r="F24" s="46"/>
    </row>
    <row r="25" spans="1:6" x14ac:dyDescent="0.4">
      <c r="A25" s="5">
        <v>9</v>
      </c>
      <c r="B25" s="43" t="s">
        <v>42</v>
      </c>
      <c r="C25" s="5"/>
      <c r="D25" s="44" t="s">
        <v>140</v>
      </c>
      <c r="E25" s="45" t="s">
        <v>138</v>
      </c>
      <c r="F25" s="46"/>
    </row>
    <row r="26" spans="1:6" ht="24.6" x14ac:dyDescent="0.4">
      <c r="A26" s="5">
        <v>10</v>
      </c>
      <c r="B26" s="43" t="s">
        <v>42</v>
      </c>
      <c r="C26" s="5"/>
      <c r="D26" s="44" t="s">
        <v>141</v>
      </c>
      <c r="E26" s="45" t="s">
        <v>142</v>
      </c>
      <c r="F26" s="46"/>
    </row>
    <row r="27" spans="1:6" x14ac:dyDescent="0.4">
      <c r="A27" s="5">
        <v>11</v>
      </c>
      <c r="B27" s="43" t="s">
        <v>45</v>
      </c>
      <c r="C27" s="5"/>
      <c r="D27" s="44" t="s">
        <v>143</v>
      </c>
      <c r="E27" s="45" t="s">
        <v>142</v>
      </c>
      <c r="F27" s="46"/>
    </row>
    <row r="28" spans="1:6" x14ac:dyDescent="0.4">
      <c r="A28" s="5">
        <v>12</v>
      </c>
      <c r="B28" s="43" t="s">
        <v>45</v>
      </c>
      <c r="C28" s="5"/>
      <c r="D28" s="44" t="s">
        <v>144</v>
      </c>
      <c r="E28" s="45" t="s">
        <v>142</v>
      </c>
      <c r="F28" s="46"/>
    </row>
    <row r="29" spans="1:6" x14ac:dyDescent="0.4">
      <c r="A29" s="5">
        <v>13</v>
      </c>
      <c r="B29" s="43" t="s">
        <v>45</v>
      </c>
      <c r="C29" s="5"/>
      <c r="D29" s="44" t="s">
        <v>145</v>
      </c>
      <c r="E29" s="45" t="s">
        <v>142</v>
      </c>
      <c r="F29" s="46"/>
    </row>
    <row r="30" spans="1:6" x14ac:dyDescent="0.4">
      <c r="A30" s="5">
        <v>14</v>
      </c>
      <c r="B30" s="43" t="s">
        <v>45</v>
      </c>
      <c r="C30" s="5"/>
      <c r="D30" s="44" t="s">
        <v>146</v>
      </c>
      <c r="E30" s="45" t="s">
        <v>147</v>
      </c>
      <c r="F30" s="46"/>
    </row>
    <row r="31" spans="1:6" x14ac:dyDescent="0.4">
      <c r="A31" s="5">
        <v>15</v>
      </c>
      <c r="B31" s="43" t="s">
        <v>45</v>
      </c>
      <c r="C31" s="5"/>
      <c r="D31" s="44" t="s">
        <v>148</v>
      </c>
      <c r="E31" s="45" t="s">
        <v>149</v>
      </c>
      <c r="F31" s="46"/>
    </row>
    <row r="32" spans="1:6" x14ac:dyDescent="0.4">
      <c r="A32" s="5">
        <v>16</v>
      </c>
      <c r="B32" s="43" t="s">
        <v>45</v>
      </c>
      <c r="C32" s="5"/>
      <c r="D32" s="44" t="s">
        <v>150</v>
      </c>
      <c r="E32" s="45" t="s">
        <v>149</v>
      </c>
      <c r="F32" s="46"/>
    </row>
    <row r="33" spans="1:6" x14ac:dyDescent="0.4">
      <c r="A33" s="5">
        <v>17</v>
      </c>
      <c r="B33" s="43"/>
      <c r="C33" s="5"/>
      <c r="D33" s="44"/>
      <c r="E33" s="47"/>
      <c r="F33" s="46"/>
    </row>
    <row r="34" spans="1:6" x14ac:dyDescent="0.4">
      <c r="A34" s="5">
        <v>18</v>
      </c>
      <c r="B34" s="43"/>
      <c r="C34" s="5"/>
      <c r="D34" s="44"/>
      <c r="E34" s="47"/>
      <c r="F34" s="46"/>
    </row>
    <row r="35" spans="1:6" x14ac:dyDescent="0.4">
      <c r="A35" s="5">
        <v>19</v>
      </c>
      <c r="B35" s="43"/>
      <c r="C35" s="5"/>
      <c r="D35" s="44"/>
      <c r="E35" s="47"/>
      <c r="F35" s="46"/>
    </row>
    <row r="36" spans="1:6" x14ac:dyDescent="0.4">
      <c r="A36" s="5">
        <v>20</v>
      </c>
      <c r="B36" s="43"/>
      <c r="C36" s="5"/>
      <c r="D36" s="44"/>
      <c r="E36" s="47"/>
      <c r="F36" s="46"/>
    </row>
    <row r="37" spans="1:6" x14ac:dyDescent="0.4">
      <c r="A37" s="5">
        <v>21</v>
      </c>
      <c r="B37" s="43"/>
      <c r="C37" s="5"/>
      <c r="D37" s="44"/>
      <c r="E37" s="47"/>
      <c r="F37" s="46"/>
    </row>
    <row r="38" spans="1:6" x14ac:dyDescent="0.4">
      <c r="A38" s="5">
        <v>22</v>
      </c>
      <c r="B38" s="43"/>
      <c r="C38" s="5"/>
      <c r="D38" s="44"/>
      <c r="E38" s="47"/>
      <c r="F38" s="46"/>
    </row>
    <row r="39" spans="1:6" x14ac:dyDescent="0.4">
      <c r="A39" s="5">
        <v>23</v>
      </c>
      <c r="B39" s="43"/>
      <c r="C39" s="5"/>
      <c r="D39" s="44"/>
      <c r="E39" s="47"/>
      <c r="F39" s="46"/>
    </row>
    <row r="40" spans="1:6" x14ac:dyDescent="0.4">
      <c r="A40" s="5">
        <v>24</v>
      </c>
      <c r="B40" s="43"/>
      <c r="C40" s="5"/>
      <c r="D40" s="44"/>
      <c r="E40" s="47"/>
      <c r="F40" s="46"/>
    </row>
    <row r="41" spans="1:6" x14ac:dyDescent="0.4">
      <c r="A41" s="5">
        <v>25</v>
      </c>
      <c r="B41" s="43"/>
      <c r="C41" s="5"/>
      <c r="D41" s="44"/>
      <c r="E41" s="47"/>
      <c r="F41" s="46"/>
    </row>
    <row r="42" spans="1:6" x14ac:dyDescent="0.4">
      <c r="A42" s="5">
        <v>26</v>
      </c>
      <c r="B42" s="43"/>
      <c r="C42" s="5"/>
      <c r="D42" s="44"/>
      <c r="E42" s="47"/>
      <c r="F42" s="46"/>
    </row>
    <row r="43" spans="1:6" x14ac:dyDescent="0.4">
      <c r="A43" s="5">
        <v>27</v>
      </c>
      <c r="B43" s="43"/>
      <c r="C43" s="5"/>
      <c r="D43" s="44"/>
      <c r="E43" s="47"/>
      <c r="F43" s="46"/>
    </row>
    <row r="44" spans="1:6" x14ac:dyDescent="0.4">
      <c r="A44" s="5">
        <v>28</v>
      </c>
      <c r="B44" s="43"/>
      <c r="C44" s="5"/>
      <c r="D44" s="44"/>
      <c r="E44" s="47"/>
      <c r="F44" s="46"/>
    </row>
    <row r="45" spans="1:6" x14ac:dyDescent="0.4">
      <c r="A45" s="5">
        <v>29</v>
      </c>
      <c r="B45" s="43"/>
      <c r="C45" s="5"/>
      <c r="D45" s="44"/>
      <c r="E45" s="47"/>
      <c r="F45" s="46"/>
    </row>
    <row r="46" spans="1:6" x14ac:dyDescent="0.4">
      <c r="A46" s="5">
        <v>30</v>
      </c>
      <c r="B46" s="43"/>
      <c r="C46" s="5"/>
      <c r="D46" s="44"/>
      <c r="E46" s="47"/>
      <c r="F46" s="46"/>
    </row>
    <row r="47" spans="1:6" x14ac:dyDescent="0.4">
      <c r="A47" s="5">
        <v>31</v>
      </c>
      <c r="B47" s="43"/>
      <c r="C47" s="5"/>
      <c r="D47" s="44"/>
      <c r="E47" s="47"/>
      <c r="F47" s="46"/>
    </row>
    <row r="48" spans="1:6" x14ac:dyDescent="0.4">
      <c r="A48" s="5">
        <v>32</v>
      </c>
      <c r="B48" s="43"/>
      <c r="C48" s="5"/>
      <c r="D48" s="44"/>
      <c r="E48" s="47"/>
      <c r="F48" s="46"/>
    </row>
    <row r="49" spans="1:6" x14ac:dyDescent="0.4">
      <c r="A49" s="5">
        <v>33</v>
      </c>
      <c r="B49" s="43"/>
      <c r="C49" s="5"/>
      <c r="D49" s="44"/>
      <c r="E49" s="47"/>
      <c r="F49" s="46"/>
    </row>
    <row r="50" spans="1:6" x14ac:dyDescent="0.4">
      <c r="A50" s="5">
        <v>34</v>
      </c>
      <c r="B50" s="43"/>
      <c r="C50" s="5"/>
      <c r="D50" s="44"/>
      <c r="E50" s="47"/>
      <c r="F50" s="46"/>
    </row>
    <row r="51" spans="1:6" x14ac:dyDescent="0.4">
      <c r="A51" s="5">
        <v>35</v>
      </c>
      <c r="B51" s="43"/>
      <c r="C51" s="5"/>
      <c r="D51" s="44"/>
      <c r="E51" s="47"/>
      <c r="F51" s="46"/>
    </row>
    <row r="52" spans="1:6" x14ac:dyDescent="0.4">
      <c r="A52" s="5">
        <v>36</v>
      </c>
      <c r="B52" s="43"/>
      <c r="C52" s="5"/>
      <c r="D52" s="44"/>
      <c r="E52" s="47"/>
      <c r="F52" s="46"/>
    </row>
    <row r="53" spans="1:6" x14ac:dyDescent="0.4">
      <c r="A53" s="5">
        <v>37</v>
      </c>
      <c r="B53" s="43"/>
      <c r="C53" s="5"/>
      <c r="D53" s="44"/>
      <c r="E53" s="47"/>
      <c r="F53" s="46"/>
    </row>
    <row r="54" spans="1:6" x14ac:dyDescent="0.4">
      <c r="A54" s="5">
        <v>38</v>
      </c>
      <c r="B54" s="43"/>
      <c r="C54" s="5"/>
      <c r="D54" s="44"/>
      <c r="E54" s="47"/>
      <c r="F54" s="46"/>
    </row>
    <row r="55" spans="1:6" x14ac:dyDescent="0.4">
      <c r="A55" s="5">
        <v>39</v>
      </c>
      <c r="B55" s="43"/>
      <c r="C55" s="5"/>
      <c r="D55" s="44"/>
      <c r="E55" s="47"/>
      <c r="F55" s="46"/>
    </row>
    <row r="56" spans="1:6" x14ac:dyDescent="0.4">
      <c r="A56" s="5">
        <v>40</v>
      </c>
      <c r="B56" s="43"/>
      <c r="C56" s="5"/>
      <c r="D56" s="44"/>
      <c r="E56" s="47"/>
      <c r="F56" s="46"/>
    </row>
    <row r="57" spans="1:6" x14ac:dyDescent="0.4">
      <c r="A57" s="5">
        <v>41</v>
      </c>
      <c r="B57" s="43"/>
      <c r="C57" s="5"/>
      <c r="D57" s="44"/>
      <c r="E57" s="47"/>
      <c r="F57" s="46"/>
    </row>
    <row r="58" spans="1:6" x14ac:dyDescent="0.4">
      <c r="A58" s="5">
        <v>42</v>
      </c>
      <c r="B58" s="43"/>
      <c r="C58" s="5"/>
      <c r="D58" s="44"/>
      <c r="E58" s="47"/>
      <c r="F58" s="46"/>
    </row>
    <row r="59" spans="1:6" x14ac:dyDescent="0.4">
      <c r="A59" s="5">
        <v>43</v>
      </c>
      <c r="B59" s="43"/>
      <c r="C59" s="5"/>
      <c r="D59" s="44"/>
      <c r="E59" s="47"/>
      <c r="F59" s="46"/>
    </row>
    <row r="60" spans="1:6" x14ac:dyDescent="0.4">
      <c r="A60" s="5">
        <v>44</v>
      </c>
      <c r="B60" s="43"/>
      <c r="C60" s="5"/>
      <c r="D60" s="44"/>
      <c r="E60" s="47"/>
      <c r="F60" s="46"/>
    </row>
    <row r="61" spans="1:6" x14ac:dyDescent="0.4">
      <c r="A61" s="5">
        <v>45</v>
      </c>
      <c r="B61" s="43"/>
      <c r="C61" s="5"/>
      <c r="D61" s="44"/>
      <c r="E61" s="47"/>
      <c r="F61" s="46"/>
    </row>
    <row r="62" spans="1:6" x14ac:dyDescent="0.4">
      <c r="A62" s="5">
        <v>46</v>
      </c>
      <c r="B62" s="43"/>
      <c r="C62" s="5"/>
      <c r="D62" s="44"/>
      <c r="E62" s="47"/>
      <c r="F62" s="46"/>
    </row>
    <row r="63" spans="1:6" x14ac:dyDescent="0.4">
      <c r="A63" s="5">
        <v>47</v>
      </c>
      <c r="B63" s="43"/>
      <c r="C63" s="5"/>
      <c r="D63" s="44"/>
      <c r="E63" s="47"/>
      <c r="F63" s="46"/>
    </row>
    <row r="64" spans="1:6" x14ac:dyDescent="0.4">
      <c r="A64" s="5">
        <v>48</v>
      </c>
      <c r="B64" s="43"/>
      <c r="C64" s="5"/>
      <c r="D64" s="44"/>
      <c r="E64" s="47"/>
      <c r="F64" s="46"/>
    </row>
    <row r="65" spans="1:6" x14ac:dyDescent="0.4">
      <c r="A65" s="5">
        <v>49</v>
      </c>
      <c r="B65" s="43"/>
      <c r="C65" s="5"/>
      <c r="D65" s="44"/>
      <c r="E65" s="47"/>
      <c r="F65" s="46"/>
    </row>
    <row r="66" spans="1:6" x14ac:dyDescent="0.4">
      <c r="A66" s="5">
        <v>50</v>
      </c>
      <c r="B66" s="43"/>
      <c r="C66" s="5"/>
      <c r="D66" s="44"/>
      <c r="E66" s="47"/>
      <c r="F66" s="46"/>
    </row>
    <row r="67" spans="1:6" x14ac:dyDescent="0.4">
      <c r="A67" s="5">
        <v>51</v>
      </c>
      <c r="B67" s="43"/>
      <c r="C67" s="5"/>
      <c r="D67" s="44"/>
      <c r="E67" s="47"/>
      <c r="F67" s="46"/>
    </row>
    <row r="68" spans="1:6" x14ac:dyDescent="0.4">
      <c r="A68" s="5">
        <v>52</v>
      </c>
      <c r="B68" s="43"/>
      <c r="C68" s="5"/>
      <c r="D68" s="44"/>
      <c r="E68" s="47"/>
      <c r="F68" s="46"/>
    </row>
    <row r="69" spans="1:6" x14ac:dyDescent="0.4">
      <c r="A69" s="5">
        <v>53</v>
      </c>
      <c r="B69" s="43"/>
      <c r="C69" s="5"/>
      <c r="D69" s="44"/>
      <c r="E69" s="47"/>
      <c r="F69" s="46"/>
    </row>
    <row r="70" spans="1:6" x14ac:dyDescent="0.4">
      <c r="A70" s="5">
        <v>54</v>
      </c>
      <c r="B70" s="43"/>
      <c r="C70" s="5"/>
      <c r="D70" s="44"/>
      <c r="E70" s="47"/>
      <c r="F70" s="46"/>
    </row>
    <row r="71" spans="1:6" x14ac:dyDescent="0.4">
      <c r="A71" s="5">
        <v>55</v>
      </c>
      <c r="B71" s="43"/>
      <c r="C71" s="5"/>
      <c r="D71" s="44"/>
      <c r="E71" s="47"/>
      <c r="F71" s="46"/>
    </row>
    <row r="72" spans="1:6" x14ac:dyDescent="0.4">
      <c r="A72" s="5">
        <v>56</v>
      </c>
      <c r="B72" s="43"/>
      <c r="C72" s="5"/>
      <c r="D72" s="44"/>
      <c r="E72" s="47"/>
      <c r="F72" s="46"/>
    </row>
    <row r="73" spans="1:6" x14ac:dyDescent="0.4">
      <c r="A73" s="5">
        <v>57</v>
      </c>
      <c r="B73" s="43"/>
      <c r="C73" s="5"/>
      <c r="D73" s="44"/>
      <c r="E73" s="47"/>
      <c r="F73" s="46"/>
    </row>
    <row r="74" spans="1:6" x14ac:dyDescent="0.4">
      <c r="A74" s="5">
        <v>58</v>
      </c>
      <c r="B74" s="43"/>
      <c r="C74" s="5"/>
      <c r="D74" s="44"/>
      <c r="E74" s="47"/>
      <c r="F74" s="46"/>
    </row>
    <row r="75" spans="1:6" x14ac:dyDescent="0.4">
      <c r="A75" s="5">
        <v>59</v>
      </c>
      <c r="B75" s="43"/>
      <c r="C75" s="5"/>
      <c r="D75" s="44"/>
      <c r="E75" s="47"/>
      <c r="F75" s="46"/>
    </row>
    <row r="76" spans="1:6" x14ac:dyDescent="0.4">
      <c r="A76" s="5">
        <v>60</v>
      </c>
      <c r="B76" s="43"/>
      <c r="C76" s="5"/>
      <c r="D76" s="44"/>
      <c r="E76" s="47"/>
      <c r="F76" s="46"/>
    </row>
    <row r="77" spans="1:6" x14ac:dyDescent="0.4">
      <c r="A77" s="5">
        <v>61</v>
      </c>
      <c r="B77" s="43"/>
      <c r="C77" s="5"/>
      <c r="D77" s="44"/>
      <c r="E77" s="47"/>
      <c r="F77" s="46"/>
    </row>
    <row r="78" spans="1:6" x14ac:dyDescent="0.4">
      <c r="A78" s="5">
        <v>62</v>
      </c>
      <c r="B78" s="43"/>
      <c r="C78" s="5"/>
      <c r="D78" s="44"/>
      <c r="E78" s="47"/>
      <c r="F78" s="46"/>
    </row>
    <row r="79" spans="1:6" x14ac:dyDescent="0.4">
      <c r="A79" s="5">
        <v>63</v>
      </c>
      <c r="B79" s="43"/>
      <c r="C79" s="5"/>
      <c r="D79" s="44"/>
      <c r="E79" s="47"/>
      <c r="F79" s="46"/>
    </row>
    <row r="80" spans="1:6" x14ac:dyDescent="0.4">
      <c r="A80" s="5">
        <v>64</v>
      </c>
      <c r="B80" s="43"/>
      <c r="C80" s="5"/>
      <c r="D80" s="44"/>
      <c r="E80" s="47"/>
      <c r="F80" s="46"/>
    </row>
    <row r="81" spans="1:6" x14ac:dyDescent="0.4">
      <c r="A81" s="5">
        <v>65</v>
      </c>
      <c r="B81" s="43"/>
      <c r="C81" s="5"/>
      <c r="D81" s="44"/>
      <c r="E81" s="47"/>
      <c r="F81" s="46"/>
    </row>
    <row r="82" spans="1:6" x14ac:dyDescent="0.4">
      <c r="A82" s="5">
        <v>66</v>
      </c>
      <c r="B82" s="43"/>
      <c r="C82" s="5"/>
      <c r="D82" s="44"/>
      <c r="E82" s="47"/>
      <c r="F82" s="46"/>
    </row>
    <row r="83" spans="1:6" x14ac:dyDescent="0.4">
      <c r="A83" s="5">
        <v>67</v>
      </c>
      <c r="B83" s="43"/>
      <c r="C83" s="5"/>
      <c r="D83" s="44"/>
      <c r="E83" s="47"/>
      <c r="F83" s="46"/>
    </row>
    <row r="84" spans="1:6" x14ac:dyDescent="0.4">
      <c r="A84" s="5">
        <v>68</v>
      </c>
      <c r="B84" s="43"/>
      <c r="C84" s="5"/>
      <c r="D84" s="44"/>
      <c r="E84" s="47"/>
      <c r="F84" s="46"/>
    </row>
    <row r="85" spans="1:6" x14ac:dyDescent="0.4">
      <c r="A85" s="5">
        <v>69</v>
      </c>
      <c r="B85" s="43"/>
      <c r="C85" s="5"/>
      <c r="D85" s="44"/>
      <c r="E85" s="47"/>
      <c r="F85" s="46"/>
    </row>
    <row r="86" spans="1:6" x14ac:dyDescent="0.4">
      <c r="A86" s="5">
        <v>70</v>
      </c>
      <c r="B86" s="43"/>
      <c r="C86" s="5"/>
      <c r="D86" s="44"/>
      <c r="E86" s="47"/>
      <c r="F86" s="46"/>
    </row>
    <row r="87" spans="1:6" x14ac:dyDescent="0.4">
      <c r="A87" s="5">
        <v>71</v>
      </c>
      <c r="B87" s="43"/>
      <c r="C87" s="5"/>
      <c r="D87" s="44"/>
      <c r="E87" s="47"/>
      <c r="F87" s="46"/>
    </row>
    <row r="88" spans="1:6" x14ac:dyDescent="0.4">
      <c r="A88" s="5">
        <v>72</v>
      </c>
      <c r="B88" s="43"/>
      <c r="C88" s="5"/>
      <c r="D88" s="44"/>
      <c r="E88" s="47"/>
      <c r="F88" s="46"/>
    </row>
    <row r="89" spans="1:6" x14ac:dyDescent="0.4">
      <c r="A89" s="5">
        <v>73</v>
      </c>
      <c r="B89" s="43"/>
      <c r="C89" s="5"/>
      <c r="D89" s="44"/>
      <c r="E89" s="47"/>
      <c r="F89" s="46"/>
    </row>
    <row r="90" spans="1:6" x14ac:dyDescent="0.4">
      <c r="A90" s="5">
        <v>74</v>
      </c>
      <c r="B90" s="43"/>
      <c r="C90" s="5"/>
      <c r="D90" s="44"/>
      <c r="E90" s="47"/>
      <c r="F90" s="46"/>
    </row>
    <row r="91" spans="1:6" x14ac:dyDescent="0.4">
      <c r="A91" s="5">
        <v>75</v>
      </c>
      <c r="B91" s="43"/>
      <c r="C91" s="5"/>
      <c r="D91" s="44"/>
      <c r="E91" s="47"/>
      <c r="F91" s="46"/>
    </row>
    <row r="92" spans="1:6" x14ac:dyDescent="0.4">
      <c r="A92" s="5">
        <v>76</v>
      </c>
      <c r="B92" s="43"/>
      <c r="C92" s="5"/>
      <c r="D92" s="44"/>
      <c r="E92" s="47"/>
      <c r="F92" s="46"/>
    </row>
    <row r="93" spans="1:6" x14ac:dyDescent="0.4">
      <c r="A93" s="5">
        <v>77</v>
      </c>
      <c r="B93" s="43"/>
      <c r="C93" s="5"/>
      <c r="D93" s="44"/>
      <c r="E93" s="47"/>
      <c r="F93" s="46"/>
    </row>
    <row r="94" spans="1:6" x14ac:dyDescent="0.4">
      <c r="A94" s="5">
        <v>78</v>
      </c>
      <c r="B94" s="43"/>
      <c r="C94" s="5"/>
      <c r="D94" s="44"/>
      <c r="E94" s="47"/>
      <c r="F94" s="46"/>
    </row>
    <row r="95" spans="1:6" x14ac:dyDescent="0.4">
      <c r="A95" s="5">
        <v>79</v>
      </c>
      <c r="B95" s="43"/>
      <c r="C95" s="5"/>
      <c r="D95" s="44"/>
      <c r="E95" s="47"/>
      <c r="F95" s="46"/>
    </row>
    <row r="96" spans="1:6" x14ac:dyDescent="0.4">
      <c r="A96" s="5">
        <v>80</v>
      </c>
      <c r="B96" s="43"/>
      <c r="C96" s="5"/>
      <c r="D96" s="44"/>
      <c r="E96" s="47"/>
      <c r="F96" s="46"/>
    </row>
    <row r="97" spans="1:6" x14ac:dyDescent="0.4">
      <c r="A97" s="5">
        <v>81</v>
      </c>
      <c r="B97" s="43"/>
      <c r="C97" s="5"/>
      <c r="D97" s="44"/>
      <c r="E97" s="47"/>
      <c r="F97" s="46"/>
    </row>
    <row r="98" spans="1:6" x14ac:dyDescent="0.4">
      <c r="A98" s="5">
        <v>82</v>
      </c>
      <c r="B98" s="43"/>
      <c r="C98" s="5"/>
      <c r="D98" s="44"/>
      <c r="E98" s="47"/>
      <c r="F98" s="46"/>
    </row>
    <row r="99" spans="1:6" x14ac:dyDescent="0.4">
      <c r="A99" s="5">
        <v>83</v>
      </c>
      <c r="B99" s="43"/>
      <c r="C99" s="5"/>
      <c r="D99" s="44"/>
      <c r="E99" s="47"/>
      <c r="F99" s="46"/>
    </row>
    <row r="100" spans="1:6" x14ac:dyDescent="0.4">
      <c r="A100" s="5">
        <v>84</v>
      </c>
      <c r="B100" s="43"/>
      <c r="C100" s="5"/>
      <c r="D100" s="44"/>
      <c r="E100" s="47"/>
      <c r="F100" s="46"/>
    </row>
  </sheetData>
  <dataValidations count="5">
    <dataValidation operator="equal" allowBlank="1" showInputMessage="1" showErrorMessage="1" promptTitle="Task ID" prompt="This is just an arbitrary unique (per sprint) integer assigned to a task, used by the team to refer to that task. " sqref="A17:A100" xr:uid="{00000000-0002-0000-0100-000000000000}">
      <formula1>0</formula1>
      <formula2>0</formula2>
    </dataValidation>
    <dataValidation type="list" operator="equal" allowBlank="1" showInputMessage="1" showErrorMessage="1" promptTitle="Select Feature ID from Product Backlog" sqref="C17:C100" xr:uid="{00000000-0002-0000-0100-000002000000}">
      <formula1>#REF!</formula1>
      <formula2>0</formula2>
    </dataValidation>
    <dataValidation type="list" operator="equal" allowBlank="1" showInputMessage="1" showErrorMessage="1" errorTitle="Wrong Value" error="This cell may only contain a valid status value (hint: use the drop-down selection list) or be left blank (hint: use the Delete key)" promptTitle="Implementation Status" prompt="Leave blank until task is begun._x000a_Select &quot;In Work&quot; when started (for long tasks only)._x000a_Select Completed ONLY when this task is done._x000a_    Select &quot;Completed Day 1&quot; if finished on the first day, and_x000a_    similarly for &quot;Completed on Day 2&quot; et. al." sqref="E17:E100" xr:uid="{00000000-0002-0000-0100-000003000000}">
      <formula1>"In Work,Completed Day 1,Completed Day 2,Completed Day 3,Completed Day 4,Completed Day 5,Completed Day 6,Completed Day 7"</formula1>
      <formula2>0</formula2>
    </dataValidation>
    <dataValidation operator="equal" allowBlank="1" showInputMessage="1" showErrorMessage="1" promptTitle="OPTIONAL" prompt="You may add any notes here that help understand the requirements and scope for this task" sqref="F17:F100" xr:uid="{00000000-0002-0000-0100-000004000000}">
      <formula1>0</formula1>
      <formula2>0</formula2>
    </dataValidation>
    <dataValidation operator="equal" allowBlank="1" showInputMessage="1" showErrorMessage="1" promptTitle="Task Description" sqref="D17:D100" xr:uid="{00000000-0002-0000-0100-000005000000}">
      <formula1>0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&amp;C&amp;A</oddHeader>
    <oddFooter>&amp;CPage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InputMessage="1" showErrorMessage="1" promptTitle="Select Feature ID from Product Backlog" xr:uid="{00000000-0002-0000-0100-000001000000}">
          <x14:formula1>
            <xm:f>'Product Backlog'!$A$24:$A$95</xm:f>
          </x14:formula1>
          <x14:formula2>
            <xm:f>0</xm:f>
          </x14:formula2>
          <xm:sqref>B17:B100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00"/>
  <sheetViews>
    <sheetView topLeftCell="A10" zoomScale="80" zoomScaleNormal="80" workbookViewId="0">
      <selection activeCell="B23" sqref="B23"/>
    </sheetView>
  </sheetViews>
  <sheetFormatPr defaultRowHeight="12.3" x14ac:dyDescent="0.4"/>
  <cols>
    <col min="1" max="1" width="10.33203125" customWidth="1"/>
    <col min="2" max="2" width="11.5"/>
    <col min="3" max="3" width="12.27734375" customWidth="1"/>
    <col min="4" max="4" width="51.83203125" customWidth="1"/>
    <col min="5" max="5" width="17.77734375" customWidth="1"/>
    <col min="6" max="6" width="51.83203125" customWidth="1"/>
    <col min="7" max="1025" width="11.5"/>
  </cols>
  <sheetData>
    <row r="1" spans="1:1024" s="36" customFormat="1" ht="17.7" x14ac:dyDescent="0.6">
      <c r="A1" s="33" t="s">
        <v>11</v>
      </c>
      <c r="B1" s="33">
        <f>'Sprint 01 Backlog'!B1+1</f>
        <v>2</v>
      </c>
      <c r="C1" s="33"/>
      <c r="D1" s="34" t="s">
        <v>2</v>
      </c>
      <c r="E1"/>
      <c r="F1" s="33"/>
      <c r="AMI1"/>
      <c r="AMJ1"/>
    </row>
    <row r="2" spans="1:1024" s="36" customFormat="1" x14ac:dyDescent="0.4">
      <c r="A2" s="33" t="s">
        <v>110</v>
      </c>
      <c r="B2" s="37">
        <f>'Sprint 01 Backlog'!B3</f>
        <v>43914</v>
      </c>
      <c r="C2" s="33"/>
      <c r="D2" s="38" t="s">
        <v>111</v>
      </c>
      <c r="E2" s="33"/>
      <c r="F2" s="33"/>
      <c r="AMI2"/>
      <c r="AMJ2"/>
    </row>
    <row r="3" spans="1:1024" s="36" customFormat="1" x14ac:dyDescent="0.4">
      <c r="A3" s="33" t="s">
        <v>112</v>
      </c>
      <c r="B3" s="37">
        <f>B2+7</f>
        <v>43921</v>
      </c>
      <c r="C3" s="33"/>
      <c r="D3" s="33"/>
      <c r="E3" s="33"/>
      <c r="F3" s="33"/>
      <c r="AMI3"/>
      <c r="AMJ3"/>
    </row>
    <row r="4" spans="1:1024" s="36" customFormat="1" x14ac:dyDescent="0.4">
      <c r="A4" s="33" t="s">
        <v>113</v>
      </c>
      <c r="B4" s="39" t="s">
        <v>114</v>
      </c>
      <c r="C4" s="33"/>
      <c r="D4" s="33"/>
      <c r="E4" s="33"/>
      <c r="F4" s="33"/>
      <c r="AMI4"/>
      <c r="AMJ4"/>
    </row>
    <row r="5" spans="1:1024" s="36" customFormat="1" x14ac:dyDescent="0.4">
      <c r="A5" s="33"/>
      <c r="B5" s="39"/>
      <c r="C5" s="33"/>
      <c r="D5" s="33"/>
      <c r="E5" s="33"/>
      <c r="F5" s="33"/>
      <c r="AMI5"/>
      <c r="AMJ5"/>
    </row>
    <row r="6" spans="1:1024" s="36" customFormat="1" x14ac:dyDescent="0.4">
      <c r="A6" s="33"/>
      <c r="B6" s="40" t="s">
        <v>12</v>
      </c>
      <c r="C6" s="33" t="s">
        <v>115</v>
      </c>
      <c r="D6" s="33"/>
      <c r="E6" s="33"/>
      <c r="F6" s="33"/>
      <c r="AMI6"/>
      <c r="AMJ6"/>
    </row>
    <row r="7" spans="1:1024" s="36" customFormat="1" x14ac:dyDescent="0.4">
      <c r="A7" s="33" t="s">
        <v>116</v>
      </c>
      <c r="B7" s="33">
        <f>COUNTA(D17:D995)</f>
        <v>15</v>
      </c>
      <c r="C7" s="33"/>
      <c r="D7" s="33"/>
      <c r="E7" s="33"/>
      <c r="F7" s="33"/>
      <c r="AMI7"/>
      <c r="AMJ7"/>
    </row>
    <row r="8" spans="1:1024" s="36" customFormat="1" x14ac:dyDescent="0.4">
      <c r="A8" s="33" t="s">
        <v>117</v>
      </c>
      <c r="B8" s="33">
        <f t="shared" ref="B8:B14" si="0">B7-C8</f>
        <v>15</v>
      </c>
      <c r="C8" s="33">
        <f>COUNTIF(E$17:E$995, "Completed Day 1")</f>
        <v>0</v>
      </c>
      <c r="D8" s="33"/>
      <c r="E8" s="33"/>
      <c r="F8" s="33"/>
      <c r="AMI8"/>
      <c r="AMJ8"/>
    </row>
    <row r="9" spans="1:1024" s="36" customFormat="1" x14ac:dyDescent="0.4">
      <c r="A9" s="33" t="s">
        <v>118</v>
      </c>
      <c r="B9" s="33">
        <f t="shared" si="0"/>
        <v>4</v>
      </c>
      <c r="C9" s="33">
        <f>COUNTIF(E$17:E$995, "Completed Day 2")</f>
        <v>11</v>
      </c>
      <c r="D9" s="33"/>
      <c r="E9" s="33"/>
      <c r="F9" s="33"/>
      <c r="AMI9"/>
      <c r="AMJ9"/>
    </row>
    <row r="10" spans="1:1024" s="36" customFormat="1" x14ac:dyDescent="0.4">
      <c r="A10" s="33" t="s">
        <v>119</v>
      </c>
      <c r="B10" s="33">
        <f t="shared" si="0"/>
        <v>4</v>
      </c>
      <c r="C10" s="33">
        <f>COUNTIF(E$17:E$995, "Completed Day 3")</f>
        <v>0</v>
      </c>
      <c r="D10" s="33"/>
      <c r="E10" s="33"/>
      <c r="F10" s="33"/>
      <c r="AMI10"/>
      <c r="AMJ10"/>
    </row>
    <row r="11" spans="1:1024" s="36" customFormat="1" x14ac:dyDescent="0.4">
      <c r="A11" s="33" t="s">
        <v>120</v>
      </c>
      <c r="B11" s="33">
        <f t="shared" si="0"/>
        <v>1</v>
      </c>
      <c r="C11" s="33">
        <f>COUNTIF(E$17:E$995, "Completed Day 4")</f>
        <v>3</v>
      </c>
      <c r="D11" s="33"/>
      <c r="E11" s="33"/>
      <c r="F11" s="33"/>
      <c r="AMI11"/>
      <c r="AMJ11"/>
    </row>
    <row r="12" spans="1:1024" s="36" customFormat="1" x14ac:dyDescent="0.4">
      <c r="A12" s="33" t="s">
        <v>121</v>
      </c>
      <c r="B12" s="33">
        <f t="shared" si="0"/>
        <v>0</v>
      </c>
      <c r="C12" s="33">
        <f>COUNTIF(E$17:E$995, "Completed Day 5")</f>
        <v>1</v>
      </c>
      <c r="D12" s="33"/>
      <c r="E12" s="33"/>
      <c r="F12" s="33"/>
      <c r="AMI12"/>
      <c r="AMJ12"/>
    </row>
    <row r="13" spans="1:1024" s="36" customFormat="1" x14ac:dyDescent="0.4">
      <c r="A13" s="33" t="s">
        <v>122</v>
      </c>
      <c r="B13" s="33">
        <f t="shared" si="0"/>
        <v>0</v>
      </c>
      <c r="C13" s="33">
        <f>COUNTIF(E$17:E$995, "Completed Day 6")</f>
        <v>0</v>
      </c>
      <c r="D13" s="33"/>
      <c r="E13" s="33"/>
      <c r="F13" s="33"/>
      <c r="AMI13"/>
      <c r="AMJ13"/>
    </row>
    <row r="14" spans="1:1024" s="36" customFormat="1" x14ac:dyDescent="0.4">
      <c r="A14" s="33" t="s">
        <v>123</v>
      </c>
      <c r="B14" s="33">
        <f t="shared" si="0"/>
        <v>0</v>
      </c>
      <c r="C14" s="33">
        <f>COUNTIF(E$17:E$995, "Completed Day 7")</f>
        <v>0</v>
      </c>
      <c r="D14" s="33"/>
      <c r="E14" s="33"/>
      <c r="F14" s="33"/>
      <c r="AMI14"/>
      <c r="AMJ14"/>
    </row>
    <row r="15" spans="1:1024" s="36" customFormat="1" x14ac:dyDescent="0.4">
      <c r="A15" s="33"/>
      <c r="B15" s="33"/>
      <c r="C15" s="33"/>
      <c r="D15" s="33"/>
      <c r="E15" s="33"/>
      <c r="F15" s="33"/>
      <c r="AMI15"/>
      <c r="AMJ15"/>
    </row>
    <row r="16" spans="1:1024" x14ac:dyDescent="0.4">
      <c r="A16" s="41" t="s">
        <v>124</v>
      </c>
      <c r="B16" s="41" t="s">
        <v>23</v>
      </c>
      <c r="C16" s="41" t="s">
        <v>125</v>
      </c>
      <c r="D16" s="41" t="s">
        <v>126</v>
      </c>
      <c r="E16" s="41" t="s">
        <v>28</v>
      </c>
      <c r="F16" s="41" t="s">
        <v>32</v>
      </c>
    </row>
    <row r="17" spans="1:6" ht="24.6" x14ac:dyDescent="0.4">
      <c r="A17" s="5">
        <v>1</v>
      </c>
      <c r="B17" s="43" t="s">
        <v>48</v>
      </c>
      <c r="C17" s="5"/>
      <c r="D17" s="44" t="s">
        <v>151</v>
      </c>
      <c r="E17" s="47" t="s">
        <v>152</v>
      </c>
      <c r="F17" s="46"/>
    </row>
    <row r="18" spans="1:6" x14ac:dyDescent="0.4">
      <c r="A18" s="5">
        <v>2</v>
      </c>
      <c r="B18" s="43" t="s">
        <v>53</v>
      </c>
      <c r="C18" s="5"/>
      <c r="D18" s="44" t="s">
        <v>153</v>
      </c>
      <c r="E18" s="47" t="s">
        <v>152</v>
      </c>
      <c r="F18" s="46" t="s">
        <v>154</v>
      </c>
    </row>
    <row r="19" spans="1:6" x14ac:dyDescent="0.4">
      <c r="A19" s="5">
        <v>3</v>
      </c>
      <c r="B19" s="43" t="s">
        <v>48</v>
      </c>
      <c r="C19" s="5"/>
      <c r="D19" s="44" t="s">
        <v>155</v>
      </c>
      <c r="E19" s="47" t="s">
        <v>152</v>
      </c>
      <c r="F19" s="46" t="s">
        <v>156</v>
      </c>
    </row>
    <row r="20" spans="1:6" x14ac:dyDescent="0.4">
      <c r="A20" s="5">
        <v>4</v>
      </c>
      <c r="B20" s="43" t="s">
        <v>57</v>
      </c>
      <c r="C20" s="5"/>
      <c r="D20" s="44" t="s">
        <v>157</v>
      </c>
      <c r="E20" s="47" t="s">
        <v>152</v>
      </c>
      <c r="F20" s="46" t="s">
        <v>158</v>
      </c>
    </row>
    <row r="21" spans="1:6" x14ac:dyDescent="0.4">
      <c r="A21" s="5">
        <v>5</v>
      </c>
      <c r="B21" s="43" t="s">
        <v>57</v>
      </c>
      <c r="C21" s="5"/>
      <c r="D21" s="44" t="s">
        <v>159</v>
      </c>
      <c r="E21" s="47" t="s">
        <v>152</v>
      </c>
      <c r="F21" s="46" t="s">
        <v>160</v>
      </c>
    </row>
    <row r="22" spans="1:6" ht="36.9" x14ac:dyDescent="0.4">
      <c r="A22" s="5">
        <v>6</v>
      </c>
      <c r="B22" s="43" t="s">
        <v>48</v>
      </c>
      <c r="C22" s="5"/>
      <c r="D22" s="44" t="s">
        <v>161</v>
      </c>
      <c r="E22" s="47" t="s">
        <v>152</v>
      </c>
      <c r="F22" s="46" t="s">
        <v>162</v>
      </c>
    </row>
    <row r="23" spans="1:6" ht="13.8" x14ac:dyDescent="0.4">
      <c r="A23" s="5">
        <v>7</v>
      </c>
      <c r="B23" s="43" t="s">
        <v>48</v>
      </c>
      <c r="C23" s="5"/>
      <c r="D23" s="44" t="s">
        <v>163</v>
      </c>
      <c r="E23" s="47" t="s">
        <v>152</v>
      </c>
      <c r="F23" s="46" t="s">
        <v>164</v>
      </c>
    </row>
    <row r="24" spans="1:6" x14ac:dyDescent="0.4">
      <c r="A24" s="5">
        <v>8</v>
      </c>
      <c r="B24" s="43" t="s">
        <v>48</v>
      </c>
      <c r="C24" s="5"/>
      <c r="D24" s="44" t="s">
        <v>165</v>
      </c>
      <c r="E24" s="47" t="s">
        <v>152</v>
      </c>
      <c r="F24" s="46" t="s">
        <v>166</v>
      </c>
    </row>
    <row r="25" spans="1:6" ht="24.6" x14ac:dyDescent="0.4">
      <c r="A25" s="5">
        <v>9</v>
      </c>
      <c r="B25" s="43" t="s">
        <v>48</v>
      </c>
      <c r="C25" s="5"/>
      <c r="D25" s="44" t="s">
        <v>167</v>
      </c>
      <c r="E25" s="47" t="s">
        <v>152</v>
      </c>
      <c r="F25" s="46" t="s">
        <v>168</v>
      </c>
    </row>
    <row r="26" spans="1:6" ht="24.6" x14ac:dyDescent="0.4">
      <c r="A26" s="5">
        <v>10</v>
      </c>
      <c r="B26" s="43" t="s">
        <v>57</v>
      </c>
      <c r="C26" s="5"/>
      <c r="D26" s="44" t="s">
        <v>169</v>
      </c>
      <c r="E26" s="47" t="s">
        <v>152</v>
      </c>
      <c r="F26" s="46" t="s">
        <v>170</v>
      </c>
    </row>
    <row r="27" spans="1:6" ht="36.9" x14ac:dyDescent="0.4">
      <c r="A27" s="5">
        <v>11</v>
      </c>
      <c r="B27" s="43" t="s">
        <v>53</v>
      </c>
      <c r="C27" s="5"/>
      <c r="D27" s="44" t="s">
        <v>171</v>
      </c>
      <c r="E27" s="47" t="s">
        <v>152</v>
      </c>
      <c r="F27" s="46" t="s">
        <v>172</v>
      </c>
    </row>
    <row r="28" spans="1:6" x14ac:dyDescent="0.4">
      <c r="A28" s="5">
        <v>12</v>
      </c>
      <c r="B28" s="43" t="s">
        <v>57</v>
      </c>
      <c r="C28" s="5"/>
      <c r="D28" s="44" t="s">
        <v>173</v>
      </c>
      <c r="E28" s="47" t="s">
        <v>142</v>
      </c>
      <c r="F28" s="46"/>
    </row>
    <row r="29" spans="1:6" x14ac:dyDescent="0.4">
      <c r="A29" s="5">
        <v>13</v>
      </c>
      <c r="B29" s="43" t="s">
        <v>57</v>
      </c>
      <c r="C29" s="5"/>
      <c r="D29" s="44" t="s">
        <v>174</v>
      </c>
      <c r="E29" s="47" t="s">
        <v>142</v>
      </c>
      <c r="F29" s="46"/>
    </row>
    <row r="30" spans="1:6" x14ac:dyDescent="0.4">
      <c r="A30" s="5">
        <v>14</v>
      </c>
      <c r="B30" s="43" t="s">
        <v>57</v>
      </c>
      <c r="C30" s="5"/>
      <c r="D30" s="44" t="s">
        <v>175</v>
      </c>
      <c r="E30" s="47" t="s">
        <v>142</v>
      </c>
      <c r="F30" s="46"/>
    </row>
    <row r="31" spans="1:6" x14ac:dyDescent="0.4">
      <c r="A31" s="5">
        <v>15</v>
      </c>
      <c r="B31" s="43" t="s">
        <v>61</v>
      </c>
      <c r="C31" s="5"/>
      <c r="D31" s="44" t="s">
        <v>176</v>
      </c>
      <c r="E31" s="47" t="s">
        <v>177</v>
      </c>
      <c r="F31" s="46"/>
    </row>
    <row r="32" spans="1:6" x14ac:dyDescent="0.4">
      <c r="A32" s="5">
        <v>16</v>
      </c>
      <c r="B32" s="43"/>
      <c r="C32" s="5"/>
      <c r="D32" s="44"/>
      <c r="E32" s="47"/>
      <c r="F32" s="46"/>
    </row>
    <row r="33" spans="1:6" x14ac:dyDescent="0.4">
      <c r="A33" s="5">
        <v>17</v>
      </c>
      <c r="B33" s="43"/>
      <c r="C33" s="5"/>
      <c r="D33" s="44"/>
      <c r="E33" s="47"/>
      <c r="F33" s="46"/>
    </row>
    <row r="34" spans="1:6" x14ac:dyDescent="0.4">
      <c r="A34" s="5">
        <v>18</v>
      </c>
      <c r="B34" s="43"/>
      <c r="C34" s="5"/>
      <c r="D34" s="44"/>
      <c r="E34" s="47"/>
      <c r="F34" s="46"/>
    </row>
    <row r="35" spans="1:6" x14ac:dyDescent="0.4">
      <c r="A35" s="5">
        <v>19</v>
      </c>
      <c r="B35" s="43"/>
      <c r="C35" s="5"/>
      <c r="D35" s="44"/>
      <c r="E35" s="47"/>
      <c r="F35" s="46"/>
    </row>
    <row r="36" spans="1:6" x14ac:dyDescent="0.4">
      <c r="A36" s="5">
        <v>20</v>
      </c>
      <c r="B36" s="43"/>
      <c r="C36" s="5"/>
      <c r="D36" s="44"/>
      <c r="E36" s="47"/>
      <c r="F36" s="46"/>
    </row>
    <row r="37" spans="1:6" x14ac:dyDescent="0.4">
      <c r="A37" s="5">
        <v>21</v>
      </c>
      <c r="B37" s="43"/>
      <c r="C37" s="5"/>
      <c r="D37" s="44"/>
      <c r="E37" s="47"/>
      <c r="F37" s="46"/>
    </row>
    <row r="38" spans="1:6" x14ac:dyDescent="0.4">
      <c r="A38" s="5">
        <v>22</v>
      </c>
      <c r="B38" s="43"/>
      <c r="C38" s="5"/>
      <c r="D38" s="44"/>
      <c r="E38" s="47"/>
      <c r="F38" s="46"/>
    </row>
    <row r="39" spans="1:6" x14ac:dyDescent="0.4">
      <c r="A39" s="5">
        <v>23</v>
      </c>
      <c r="B39" s="43"/>
      <c r="C39" s="5"/>
      <c r="D39" s="44"/>
      <c r="E39" s="47"/>
      <c r="F39" s="46"/>
    </row>
    <row r="40" spans="1:6" x14ac:dyDescent="0.4">
      <c r="A40" s="5">
        <v>24</v>
      </c>
      <c r="B40" s="43"/>
      <c r="C40" s="5"/>
      <c r="D40" s="44"/>
      <c r="E40" s="47"/>
      <c r="F40" s="46"/>
    </row>
    <row r="41" spans="1:6" x14ac:dyDescent="0.4">
      <c r="A41" s="5">
        <v>25</v>
      </c>
      <c r="B41" s="43"/>
      <c r="C41" s="5"/>
      <c r="D41" s="44"/>
      <c r="E41" s="47"/>
      <c r="F41" s="46"/>
    </row>
    <row r="42" spans="1:6" x14ac:dyDescent="0.4">
      <c r="A42" s="5">
        <v>26</v>
      </c>
      <c r="B42" s="43"/>
      <c r="C42" s="5"/>
      <c r="D42" s="44"/>
      <c r="E42" s="47"/>
      <c r="F42" s="46"/>
    </row>
    <row r="43" spans="1:6" x14ac:dyDescent="0.4">
      <c r="A43" s="5">
        <v>27</v>
      </c>
      <c r="B43" s="43"/>
      <c r="C43" s="5"/>
      <c r="D43" s="44"/>
      <c r="E43" s="47"/>
      <c r="F43" s="46"/>
    </row>
    <row r="44" spans="1:6" x14ac:dyDescent="0.4">
      <c r="A44" s="5">
        <v>28</v>
      </c>
      <c r="B44" s="43"/>
      <c r="C44" s="5"/>
      <c r="D44" s="44"/>
      <c r="E44" s="47"/>
      <c r="F44" s="46"/>
    </row>
    <row r="45" spans="1:6" x14ac:dyDescent="0.4">
      <c r="A45" s="5">
        <v>29</v>
      </c>
      <c r="B45" s="43"/>
      <c r="C45" s="5"/>
      <c r="D45" s="44"/>
      <c r="E45" s="47"/>
      <c r="F45" s="46"/>
    </row>
    <row r="46" spans="1:6" x14ac:dyDescent="0.4">
      <c r="A46" s="5">
        <v>30</v>
      </c>
      <c r="B46" s="43"/>
      <c r="C46" s="5"/>
      <c r="D46" s="44"/>
      <c r="E46" s="47"/>
      <c r="F46" s="46"/>
    </row>
    <row r="47" spans="1:6" x14ac:dyDescent="0.4">
      <c r="A47" s="5">
        <v>31</v>
      </c>
      <c r="B47" s="43"/>
      <c r="C47" s="5"/>
      <c r="D47" s="44"/>
      <c r="E47" s="47"/>
      <c r="F47" s="46"/>
    </row>
    <row r="48" spans="1:6" x14ac:dyDescent="0.4">
      <c r="A48" s="5">
        <v>32</v>
      </c>
      <c r="B48" s="43"/>
      <c r="C48" s="5"/>
      <c r="D48" s="44"/>
      <c r="E48" s="47"/>
      <c r="F48" s="46"/>
    </row>
    <row r="49" spans="1:6" x14ac:dyDescent="0.4">
      <c r="A49" s="5">
        <v>33</v>
      </c>
      <c r="B49" s="43"/>
      <c r="C49" s="5"/>
      <c r="D49" s="44"/>
      <c r="E49" s="47"/>
      <c r="F49" s="46"/>
    </row>
    <row r="50" spans="1:6" x14ac:dyDescent="0.4">
      <c r="A50" s="5">
        <v>34</v>
      </c>
      <c r="B50" s="43"/>
      <c r="C50" s="5"/>
      <c r="D50" s="44"/>
      <c r="E50" s="47"/>
      <c r="F50" s="46"/>
    </row>
    <row r="51" spans="1:6" x14ac:dyDescent="0.4">
      <c r="A51" s="5">
        <v>35</v>
      </c>
      <c r="B51" s="43"/>
      <c r="C51" s="5"/>
      <c r="D51" s="44"/>
      <c r="E51" s="47"/>
      <c r="F51" s="46"/>
    </row>
    <row r="52" spans="1:6" x14ac:dyDescent="0.4">
      <c r="A52" s="5">
        <v>36</v>
      </c>
      <c r="B52" s="43"/>
      <c r="C52" s="5"/>
      <c r="D52" s="44"/>
      <c r="E52" s="47"/>
      <c r="F52" s="46"/>
    </row>
    <row r="53" spans="1:6" x14ac:dyDescent="0.4">
      <c r="A53" s="5">
        <v>37</v>
      </c>
      <c r="B53" s="43"/>
      <c r="C53" s="5"/>
      <c r="D53" s="44"/>
      <c r="E53" s="47"/>
      <c r="F53" s="46"/>
    </row>
    <row r="54" spans="1:6" x14ac:dyDescent="0.4">
      <c r="A54" s="5">
        <v>38</v>
      </c>
      <c r="B54" s="43"/>
      <c r="C54" s="5"/>
      <c r="D54" s="44"/>
      <c r="E54" s="47"/>
      <c r="F54" s="46"/>
    </row>
    <row r="55" spans="1:6" x14ac:dyDescent="0.4">
      <c r="A55" s="5">
        <v>39</v>
      </c>
      <c r="B55" s="43"/>
      <c r="C55" s="5"/>
      <c r="D55" s="44"/>
      <c r="E55" s="47"/>
      <c r="F55" s="46"/>
    </row>
    <row r="56" spans="1:6" x14ac:dyDescent="0.4">
      <c r="A56" s="5">
        <v>40</v>
      </c>
      <c r="B56" s="43"/>
      <c r="C56" s="5"/>
      <c r="D56" s="44"/>
      <c r="E56" s="47"/>
      <c r="F56" s="46"/>
    </row>
    <row r="57" spans="1:6" x14ac:dyDescent="0.4">
      <c r="A57" s="5">
        <v>41</v>
      </c>
      <c r="B57" s="43"/>
      <c r="C57" s="5"/>
      <c r="D57" s="44"/>
      <c r="E57" s="47"/>
      <c r="F57" s="46"/>
    </row>
    <row r="58" spans="1:6" x14ac:dyDescent="0.4">
      <c r="A58" s="5">
        <v>42</v>
      </c>
      <c r="B58" s="43"/>
      <c r="C58" s="5"/>
      <c r="D58" s="44"/>
      <c r="E58" s="47"/>
      <c r="F58" s="46"/>
    </row>
    <row r="59" spans="1:6" x14ac:dyDescent="0.4">
      <c r="A59" s="5">
        <v>43</v>
      </c>
      <c r="B59" s="43"/>
      <c r="C59" s="5"/>
      <c r="D59" s="44"/>
      <c r="E59" s="47"/>
      <c r="F59" s="46"/>
    </row>
    <row r="60" spans="1:6" x14ac:dyDescent="0.4">
      <c r="A60" s="5">
        <v>44</v>
      </c>
      <c r="B60" s="43"/>
      <c r="C60" s="5"/>
      <c r="D60" s="44"/>
      <c r="E60" s="47"/>
      <c r="F60" s="46"/>
    </row>
    <row r="61" spans="1:6" x14ac:dyDescent="0.4">
      <c r="A61" s="5">
        <v>45</v>
      </c>
      <c r="B61" s="43"/>
      <c r="C61" s="5"/>
      <c r="D61" s="44"/>
      <c r="E61" s="47"/>
      <c r="F61" s="46"/>
    </row>
    <row r="62" spans="1:6" x14ac:dyDescent="0.4">
      <c r="A62" s="5">
        <v>46</v>
      </c>
      <c r="B62" s="43"/>
      <c r="C62" s="5"/>
      <c r="D62" s="44"/>
      <c r="E62" s="47"/>
      <c r="F62" s="46"/>
    </row>
    <row r="63" spans="1:6" x14ac:dyDescent="0.4">
      <c r="A63" s="5">
        <v>47</v>
      </c>
      <c r="B63" s="43"/>
      <c r="C63" s="5"/>
      <c r="D63" s="44"/>
      <c r="E63" s="47"/>
      <c r="F63" s="46"/>
    </row>
    <row r="64" spans="1:6" x14ac:dyDescent="0.4">
      <c r="A64" s="5">
        <v>48</v>
      </c>
      <c r="B64" s="43"/>
      <c r="C64" s="5"/>
      <c r="D64" s="44"/>
      <c r="E64" s="47"/>
      <c r="F64" s="46"/>
    </row>
    <row r="65" spans="1:6" x14ac:dyDescent="0.4">
      <c r="A65" s="5">
        <v>49</v>
      </c>
      <c r="B65" s="43"/>
      <c r="C65" s="5"/>
      <c r="D65" s="44"/>
      <c r="E65" s="47"/>
      <c r="F65" s="46"/>
    </row>
    <row r="66" spans="1:6" x14ac:dyDescent="0.4">
      <c r="A66" s="5">
        <v>50</v>
      </c>
      <c r="B66" s="43"/>
      <c r="C66" s="5"/>
      <c r="D66" s="44"/>
      <c r="E66" s="47"/>
      <c r="F66" s="46"/>
    </row>
    <row r="67" spans="1:6" x14ac:dyDescent="0.4">
      <c r="A67" s="5">
        <v>51</v>
      </c>
      <c r="B67" s="43"/>
      <c r="C67" s="5"/>
      <c r="D67" s="44"/>
      <c r="E67" s="47"/>
      <c r="F67" s="46"/>
    </row>
    <row r="68" spans="1:6" x14ac:dyDescent="0.4">
      <c r="A68" s="5">
        <v>52</v>
      </c>
      <c r="B68" s="43"/>
      <c r="C68" s="5"/>
      <c r="D68" s="44"/>
      <c r="E68" s="47"/>
      <c r="F68" s="46"/>
    </row>
    <row r="69" spans="1:6" x14ac:dyDescent="0.4">
      <c r="A69" s="5">
        <v>53</v>
      </c>
      <c r="B69" s="43"/>
      <c r="C69" s="5"/>
      <c r="D69" s="44"/>
      <c r="E69" s="47"/>
      <c r="F69" s="46"/>
    </row>
    <row r="70" spans="1:6" x14ac:dyDescent="0.4">
      <c r="A70" s="5">
        <v>54</v>
      </c>
      <c r="B70" s="43"/>
      <c r="C70" s="5"/>
      <c r="D70" s="44"/>
      <c r="E70" s="47"/>
      <c r="F70" s="46"/>
    </row>
    <row r="71" spans="1:6" x14ac:dyDescent="0.4">
      <c r="A71" s="5">
        <v>55</v>
      </c>
      <c r="B71" s="43"/>
      <c r="C71" s="5"/>
      <c r="D71" s="44"/>
      <c r="E71" s="47"/>
      <c r="F71" s="46"/>
    </row>
    <row r="72" spans="1:6" x14ac:dyDescent="0.4">
      <c r="A72" s="5">
        <v>56</v>
      </c>
      <c r="B72" s="43"/>
      <c r="C72" s="5"/>
      <c r="D72" s="44"/>
      <c r="E72" s="47"/>
      <c r="F72" s="46"/>
    </row>
    <row r="73" spans="1:6" x14ac:dyDescent="0.4">
      <c r="A73" s="5">
        <v>57</v>
      </c>
      <c r="B73" s="43"/>
      <c r="C73" s="5"/>
      <c r="D73" s="44"/>
      <c r="E73" s="47"/>
      <c r="F73" s="46"/>
    </row>
    <row r="74" spans="1:6" x14ac:dyDescent="0.4">
      <c r="A74" s="5">
        <v>58</v>
      </c>
      <c r="B74" s="43"/>
      <c r="C74" s="5"/>
      <c r="D74" s="44"/>
      <c r="E74" s="47"/>
      <c r="F74" s="46"/>
    </row>
    <row r="75" spans="1:6" x14ac:dyDescent="0.4">
      <c r="A75" s="5">
        <v>59</v>
      </c>
      <c r="B75" s="43"/>
      <c r="C75" s="5"/>
      <c r="D75" s="44"/>
      <c r="E75" s="47"/>
      <c r="F75" s="46"/>
    </row>
    <row r="76" spans="1:6" x14ac:dyDescent="0.4">
      <c r="A76" s="5">
        <v>60</v>
      </c>
      <c r="B76" s="43"/>
      <c r="C76" s="5"/>
      <c r="D76" s="44"/>
      <c r="E76" s="47"/>
      <c r="F76" s="46"/>
    </row>
    <row r="77" spans="1:6" x14ac:dyDescent="0.4">
      <c r="A77" s="5">
        <v>61</v>
      </c>
      <c r="B77" s="43"/>
      <c r="C77" s="5"/>
      <c r="D77" s="44"/>
      <c r="E77" s="47"/>
      <c r="F77" s="46"/>
    </row>
    <row r="78" spans="1:6" x14ac:dyDescent="0.4">
      <c r="A78" s="5">
        <v>62</v>
      </c>
      <c r="B78" s="43"/>
      <c r="C78" s="5"/>
      <c r="D78" s="44"/>
      <c r="E78" s="47"/>
      <c r="F78" s="46"/>
    </row>
    <row r="79" spans="1:6" x14ac:dyDescent="0.4">
      <c r="A79" s="5">
        <v>63</v>
      </c>
      <c r="B79" s="43"/>
      <c r="C79" s="5"/>
      <c r="D79" s="44"/>
      <c r="E79" s="47"/>
      <c r="F79" s="46"/>
    </row>
    <row r="80" spans="1:6" x14ac:dyDescent="0.4">
      <c r="A80" s="5">
        <v>64</v>
      </c>
      <c r="B80" s="43"/>
      <c r="C80" s="5"/>
      <c r="D80" s="44"/>
      <c r="E80" s="47"/>
      <c r="F80" s="46"/>
    </row>
    <row r="81" spans="1:6" x14ac:dyDescent="0.4">
      <c r="A81" s="5">
        <v>65</v>
      </c>
      <c r="B81" s="43"/>
      <c r="C81" s="5"/>
      <c r="D81" s="44"/>
      <c r="E81" s="47"/>
      <c r="F81" s="46"/>
    </row>
    <row r="82" spans="1:6" x14ac:dyDescent="0.4">
      <c r="A82" s="5">
        <v>66</v>
      </c>
      <c r="B82" s="43"/>
      <c r="C82" s="5"/>
      <c r="D82" s="44"/>
      <c r="E82" s="47"/>
      <c r="F82" s="46"/>
    </row>
    <row r="83" spans="1:6" x14ac:dyDescent="0.4">
      <c r="A83" s="5">
        <v>67</v>
      </c>
      <c r="B83" s="43"/>
      <c r="C83" s="5"/>
      <c r="D83" s="44"/>
      <c r="E83" s="47"/>
      <c r="F83" s="46"/>
    </row>
    <row r="84" spans="1:6" x14ac:dyDescent="0.4">
      <c r="A84" s="5">
        <v>68</v>
      </c>
      <c r="B84" s="43"/>
      <c r="C84" s="5"/>
      <c r="D84" s="44"/>
      <c r="E84" s="47"/>
      <c r="F84" s="46"/>
    </row>
    <row r="85" spans="1:6" x14ac:dyDescent="0.4">
      <c r="A85" s="5">
        <v>69</v>
      </c>
      <c r="B85" s="43"/>
      <c r="C85" s="5"/>
      <c r="D85" s="44"/>
      <c r="E85" s="47"/>
      <c r="F85" s="46"/>
    </row>
    <row r="86" spans="1:6" x14ac:dyDescent="0.4">
      <c r="A86" s="5">
        <v>70</v>
      </c>
      <c r="B86" s="43"/>
      <c r="C86" s="5"/>
      <c r="D86" s="44"/>
      <c r="E86" s="47"/>
      <c r="F86" s="46"/>
    </row>
    <row r="87" spans="1:6" x14ac:dyDescent="0.4">
      <c r="A87" s="5">
        <v>71</v>
      </c>
      <c r="B87" s="43"/>
      <c r="C87" s="5"/>
      <c r="D87" s="44"/>
      <c r="E87" s="47"/>
      <c r="F87" s="46"/>
    </row>
    <row r="88" spans="1:6" x14ac:dyDescent="0.4">
      <c r="A88" s="5">
        <v>72</v>
      </c>
      <c r="B88" s="43"/>
      <c r="C88" s="5"/>
      <c r="D88" s="44"/>
      <c r="E88" s="47"/>
      <c r="F88" s="46"/>
    </row>
    <row r="89" spans="1:6" x14ac:dyDescent="0.4">
      <c r="A89" s="5">
        <v>73</v>
      </c>
      <c r="B89" s="43"/>
      <c r="C89" s="5"/>
      <c r="D89" s="44"/>
      <c r="E89" s="47"/>
      <c r="F89" s="46"/>
    </row>
    <row r="90" spans="1:6" x14ac:dyDescent="0.4">
      <c r="A90" s="5">
        <v>74</v>
      </c>
      <c r="B90" s="43"/>
      <c r="C90" s="5"/>
      <c r="D90" s="44"/>
      <c r="E90" s="47"/>
      <c r="F90" s="46"/>
    </row>
    <row r="91" spans="1:6" x14ac:dyDescent="0.4">
      <c r="A91" s="5">
        <v>75</v>
      </c>
      <c r="B91" s="43"/>
      <c r="C91" s="5"/>
      <c r="D91" s="44"/>
      <c r="E91" s="47"/>
      <c r="F91" s="46"/>
    </row>
    <row r="92" spans="1:6" x14ac:dyDescent="0.4">
      <c r="A92" s="5">
        <v>76</v>
      </c>
      <c r="B92" s="43"/>
      <c r="C92" s="5"/>
      <c r="D92" s="44"/>
      <c r="E92" s="47"/>
      <c r="F92" s="46"/>
    </row>
    <row r="93" spans="1:6" x14ac:dyDescent="0.4">
      <c r="A93" s="5">
        <v>77</v>
      </c>
      <c r="B93" s="43"/>
      <c r="C93" s="5"/>
      <c r="D93" s="44"/>
      <c r="E93" s="47"/>
      <c r="F93" s="46"/>
    </row>
    <row r="94" spans="1:6" x14ac:dyDescent="0.4">
      <c r="A94" s="5">
        <v>78</v>
      </c>
      <c r="B94" s="43"/>
      <c r="C94" s="5"/>
      <c r="D94" s="44"/>
      <c r="E94" s="47"/>
      <c r="F94" s="46"/>
    </row>
    <row r="95" spans="1:6" x14ac:dyDescent="0.4">
      <c r="A95" s="5">
        <v>79</v>
      </c>
      <c r="B95" s="43"/>
      <c r="C95" s="5"/>
      <c r="D95" s="44"/>
      <c r="E95" s="47"/>
      <c r="F95" s="46"/>
    </row>
    <row r="96" spans="1:6" x14ac:dyDescent="0.4">
      <c r="A96" s="5">
        <v>80</v>
      </c>
      <c r="B96" s="43"/>
      <c r="C96" s="5"/>
      <c r="D96" s="44"/>
      <c r="E96" s="47"/>
      <c r="F96" s="46"/>
    </row>
    <row r="97" spans="1:6" x14ac:dyDescent="0.4">
      <c r="A97" s="5">
        <v>81</v>
      </c>
      <c r="B97" s="43"/>
      <c r="C97" s="5"/>
      <c r="D97" s="44"/>
      <c r="E97" s="47"/>
      <c r="F97" s="46"/>
    </row>
    <row r="98" spans="1:6" x14ac:dyDescent="0.4">
      <c r="A98" s="5">
        <v>82</v>
      </c>
      <c r="B98" s="43"/>
      <c r="C98" s="5"/>
      <c r="D98" s="44"/>
      <c r="E98" s="47"/>
      <c r="F98" s="46"/>
    </row>
    <row r="99" spans="1:6" x14ac:dyDescent="0.4">
      <c r="A99" s="5">
        <v>83</v>
      </c>
      <c r="B99" s="43"/>
      <c r="C99" s="5"/>
      <c r="D99" s="44"/>
      <c r="E99" s="47"/>
      <c r="F99" s="46"/>
    </row>
    <row r="100" spans="1:6" x14ac:dyDescent="0.4">
      <c r="A100" s="5">
        <v>84</v>
      </c>
      <c r="B100" s="43"/>
      <c r="C100" s="5"/>
      <c r="D100" s="44"/>
      <c r="E100" s="47"/>
      <c r="F100" s="46"/>
    </row>
  </sheetData>
  <dataValidations count="5">
    <dataValidation operator="equal" allowBlank="1" showInputMessage="1" showErrorMessage="1" promptTitle="Task ID" prompt="This is just an arbitrary unique (per sprint) integer assigned to a task, used by the team to refer to that task. " sqref="A17:A100" xr:uid="{00000000-0002-0000-0200-000000000000}">
      <formula1>0</formula1>
      <formula2>0</formula2>
    </dataValidation>
    <dataValidation type="list" operator="equal" allowBlank="1" showInputMessage="1" showErrorMessage="1" promptTitle="Select Feature ID from Product Backlog" sqref="C17:C100" xr:uid="{00000000-0002-0000-0200-000002000000}">
      <formula1>#REF!</formula1>
      <formula2>0</formula2>
    </dataValidation>
    <dataValidation operator="equal" allowBlank="1" showInputMessage="1" showErrorMessage="1" promptTitle="Task Description" sqref="D17:D100" xr:uid="{00000000-0002-0000-0200-000003000000}">
      <formula1>0</formula1>
      <formula2>0</formula2>
    </dataValidation>
    <dataValidation type="list" operator="equal" allowBlank="1" showInputMessage="1" showErrorMessage="1" errorTitle="Wrong Value" error="This cell may only contain a valid status value (hint: use the drop-down selection list) or be left blank (hint: use the Delete key)" promptTitle="Implementation Status" prompt="Leave blank until task is begun._x000a_Select &quot;In Work&quot; when started (for long tasks only)._x000a_Select Completed ONLY when this task is done._x000a_    Select &quot;Completed Day 1&quot; if finished on the first day, and_x000a_    similarly for &quot;Completed on Day 2&quot; et. al." sqref="E17:E100" xr:uid="{00000000-0002-0000-0200-000004000000}">
      <formula1>"In Work,Completed Day 1,Completed Day 2,Completed Day 3,Completed Day 4,Completed Day 5,Completed Day 6,Completed Day 7"</formula1>
      <formula2>0</formula2>
    </dataValidation>
    <dataValidation operator="equal" allowBlank="1" showInputMessage="1" showErrorMessage="1" promptTitle="OPTIONAL" prompt="You may add any notes here that help understand the requirements and scope for this task" sqref="F17:F100" xr:uid="{00000000-0002-0000-0200-000005000000}">
      <formula1>0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&amp;C&amp;A</oddHeader>
    <oddFooter>&amp;CPage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InputMessage="1" showErrorMessage="1" promptTitle="Select Feature ID from Product Backlog" xr:uid="{00000000-0002-0000-0200-000001000000}">
          <x14:formula1>
            <xm:f>'Product Backlog'!$A$24:$A$95</xm:f>
          </x14:formula1>
          <x14:formula2>
            <xm:f>0</xm:f>
          </x14:formula2>
          <xm:sqref>B17:B100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00"/>
  <sheetViews>
    <sheetView tabSelected="1" zoomScale="80" zoomScaleNormal="80" workbookViewId="0">
      <selection activeCell="F37" sqref="F37"/>
    </sheetView>
  </sheetViews>
  <sheetFormatPr defaultRowHeight="12.3" x14ac:dyDescent="0.4"/>
  <cols>
    <col min="1" max="1" width="10.33203125" customWidth="1"/>
    <col min="2" max="2" width="11.5"/>
    <col min="3" max="3" width="12.27734375" customWidth="1"/>
    <col min="4" max="4" width="51.83203125" customWidth="1"/>
    <col min="5" max="5" width="17.77734375" customWidth="1"/>
    <col min="6" max="6" width="51.83203125" customWidth="1"/>
    <col min="7" max="1025" width="11.5"/>
  </cols>
  <sheetData>
    <row r="1" spans="1:1024" s="36" customFormat="1" ht="17.7" x14ac:dyDescent="0.6">
      <c r="A1" s="33" t="s">
        <v>11</v>
      </c>
      <c r="B1" s="33">
        <f>'Sprint 02 Backlog'!B1+1</f>
        <v>3</v>
      </c>
      <c r="C1" s="33"/>
      <c r="D1" s="34" t="s">
        <v>2</v>
      </c>
      <c r="E1"/>
      <c r="F1" s="33"/>
      <c r="AMI1"/>
      <c r="AMJ1"/>
    </row>
    <row r="2" spans="1:1024" s="36" customFormat="1" x14ac:dyDescent="0.4">
      <c r="A2" s="33" t="s">
        <v>110</v>
      </c>
      <c r="B2" s="37">
        <f>'Sprint 02 Backlog'!B2+7</f>
        <v>43921</v>
      </c>
      <c r="C2" s="33"/>
      <c r="D2" s="38" t="s">
        <v>111</v>
      </c>
      <c r="E2" s="33"/>
      <c r="F2" s="33"/>
      <c r="AMI2"/>
      <c r="AMJ2"/>
    </row>
    <row r="3" spans="1:1024" s="36" customFormat="1" x14ac:dyDescent="0.4">
      <c r="A3" s="33" t="s">
        <v>112</v>
      </c>
      <c r="B3" s="37">
        <f>B2+7</f>
        <v>43928</v>
      </c>
      <c r="C3" s="33"/>
      <c r="D3" s="33"/>
      <c r="E3" s="33"/>
      <c r="F3" s="33"/>
      <c r="AMI3"/>
      <c r="AMJ3"/>
    </row>
    <row r="4" spans="1:1024" s="36" customFormat="1" x14ac:dyDescent="0.4">
      <c r="A4" s="33" t="s">
        <v>113</v>
      </c>
      <c r="B4" s="39" t="s">
        <v>114</v>
      </c>
      <c r="C4" s="33"/>
      <c r="D4" s="33"/>
      <c r="E4" s="33"/>
      <c r="F4" s="33"/>
      <c r="AMI4"/>
      <c r="AMJ4"/>
    </row>
    <row r="5" spans="1:1024" s="36" customFormat="1" x14ac:dyDescent="0.4">
      <c r="A5" s="33"/>
      <c r="B5" s="39"/>
      <c r="C5" s="33"/>
      <c r="D5" s="33"/>
      <c r="E5" s="33"/>
      <c r="F5" s="33"/>
      <c r="AMI5"/>
      <c r="AMJ5"/>
    </row>
    <row r="6" spans="1:1024" s="36" customFormat="1" x14ac:dyDescent="0.4">
      <c r="A6" s="33"/>
      <c r="B6" s="40" t="s">
        <v>12</v>
      </c>
      <c r="C6" s="33" t="s">
        <v>115</v>
      </c>
      <c r="D6" s="33"/>
      <c r="E6" s="33"/>
      <c r="F6" s="33"/>
      <c r="AMI6"/>
      <c r="AMJ6"/>
    </row>
    <row r="7" spans="1:1024" s="36" customFormat="1" x14ac:dyDescent="0.4">
      <c r="A7" s="33" t="s">
        <v>116</v>
      </c>
      <c r="B7" s="33">
        <f>COUNTA(D17:D995)</f>
        <v>9</v>
      </c>
      <c r="C7" s="33"/>
      <c r="D7" s="33"/>
      <c r="E7" s="33"/>
      <c r="F7" s="33"/>
      <c r="AMI7"/>
      <c r="AMJ7"/>
    </row>
    <row r="8" spans="1:1024" s="36" customFormat="1" x14ac:dyDescent="0.4">
      <c r="A8" s="33" t="s">
        <v>117</v>
      </c>
      <c r="B8" s="33">
        <f t="shared" ref="B8:B14" si="0">B7-C8</f>
        <v>7</v>
      </c>
      <c r="C8" s="33">
        <v>2</v>
      </c>
      <c r="D8" s="33"/>
      <c r="E8" s="33"/>
      <c r="F8" s="33"/>
      <c r="AMI8"/>
      <c r="AMJ8"/>
    </row>
    <row r="9" spans="1:1024" s="36" customFormat="1" x14ac:dyDescent="0.4">
      <c r="A9" s="33" t="s">
        <v>118</v>
      </c>
      <c r="B9" s="33">
        <f t="shared" si="0"/>
        <v>7</v>
      </c>
      <c r="C9" s="33">
        <f>COUNTIF(E$17:E$995, "Completed Day 2")</f>
        <v>0</v>
      </c>
      <c r="D9" s="33"/>
      <c r="E9" s="33"/>
      <c r="F9" s="33"/>
      <c r="AMI9"/>
      <c r="AMJ9"/>
    </row>
    <row r="10" spans="1:1024" s="36" customFormat="1" x14ac:dyDescent="0.4">
      <c r="A10" s="33" t="s">
        <v>119</v>
      </c>
      <c r="B10" s="33">
        <f t="shared" si="0"/>
        <v>4</v>
      </c>
      <c r="C10" s="33">
        <v>3</v>
      </c>
      <c r="D10" s="33"/>
      <c r="E10" s="33"/>
      <c r="F10" s="33"/>
      <c r="AMI10"/>
      <c r="AMJ10"/>
    </row>
    <row r="11" spans="1:1024" s="36" customFormat="1" x14ac:dyDescent="0.4">
      <c r="A11" s="33" t="s">
        <v>120</v>
      </c>
      <c r="B11" s="33">
        <f t="shared" si="0"/>
        <v>4</v>
      </c>
      <c r="C11" s="33">
        <f>COUNTIF(E$17:E$995, "Completed Day 4")</f>
        <v>0</v>
      </c>
      <c r="D11" s="33"/>
      <c r="E11" s="33"/>
      <c r="F11" s="33"/>
      <c r="AMI11"/>
      <c r="AMJ11"/>
    </row>
    <row r="12" spans="1:1024" s="36" customFormat="1" x14ac:dyDescent="0.4">
      <c r="A12" s="33" t="s">
        <v>121</v>
      </c>
      <c r="B12" s="33">
        <f t="shared" si="0"/>
        <v>2</v>
      </c>
      <c r="C12" s="33">
        <v>2</v>
      </c>
      <c r="D12" s="33"/>
      <c r="E12" s="33"/>
      <c r="F12" s="33"/>
      <c r="AMI12"/>
      <c r="AMJ12"/>
    </row>
    <row r="13" spans="1:1024" s="36" customFormat="1" x14ac:dyDescent="0.4">
      <c r="A13" s="33" t="s">
        <v>122</v>
      </c>
      <c r="B13" s="33">
        <f t="shared" si="0"/>
        <v>1</v>
      </c>
      <c r="C13" s="33">
        <v>1</v>
      </c>
      <c r="D13" s="33"/>
      <c r="E13" s="33"/>
      <c r="F13" s="33"/>
      <c r="AMI13"/>
      <c r="AMJ13"/>
    </row>
    <row r="14" spans="1:1024" s="36" customFormat="1" x14ac:dyDescent="0.4">
      <c r="A14" s="33" t="s">
        <v>123</v>
      </c>
      <c r="B14" s="33">
        <f t="shared" si="0"/>
        <v>0</v>
      </c>
      <c r="C14" s="33">
        <v>1</v>
      </c>
      <c r="D14" s="33"/>
      <c r="E14" s="33"/>
      <c r="F14" s="33"/>
      <c r="AMI14"/>
      <c r="AMJ14"/>
    </row>
    <row r="15" spans="1:1024" s="36" customFormat="1" x14ac:dyDescent="0.4">
      <c r="A15" s="33"/>
      <c r="B15" s="33"/>
      <c r="C15" s="33"/>
      <c r="D15" s="33"/>
      <c r="E15" s="33"/>
      <c r="F15" s="33"/>
      <c r="AMI15"/>
      <c r="AMJ15"/>
    </row>
    <row r="16" spans="1:1024" x14ac:dyDescent="0.4">
      <c r="A16" s="41" t="s">
        <v>124</v>
      </c>
      <c r="B16" s="41" t="s">
        <v>23</v>
      </c>
      <c r="C16" s="41" t="s">
        <v>125</v>
      </c>
      <c r="D16" s="41" t="s">
        <v>126</v>
      </c>
      <c r="E16" s="41" t="s">
        <v>28</v>
      </c>
      <c r="F16" s="41" t="s">
        <v>32</v>
      </c>
    </row>
    <row r="17" spans="1:6" ht="36.9" x14ac:dyDescent="0.4">
      <c r="A17" s="5">
        <v>1</v>
      </c>
      <c r="B17" s="43" t="s">
        <v>48</v>
      </c>
      <c r="C17" s="5"/>
      <c r="D17" s="48" t="s">
        <v>179</v>
      </c>
      <c r="E17" s="47"/>
      <c r="F17" s="46" t="s">
        <v>185</v>
      </c>
    </row>
    <row r="18" spans="1:6" x14ac:dyDescent="0.4">
      <c r="A18" s="5">
        <v>2</v>
      </c>
      <c r="B18" s="43" t="s">
        <v>33</v>
      </c>
      <c r="C18" s="5"/>
      <c r="D18" s="44" t="s">
        <v>180</v>
      </c>
      <c r="E18" s="47"/>
      <c r="F18" s="46" t="s">
        <v>185</v>
      </c>
    </row>
    <row r="19" spans="1:6" x14ac:dyDescent="0.4">
      <c r="A19" s="5">
        <v>3</v>
      </c>
      <c r="B19" s="43" t="s">
        <v>38</v>
      </c>
      <c r="C19" s="5"/>
      <c r="D19" s="44" t="s">
        <v>180</v>
      </c>
      <c r="E19" s="47"/>
      <c r="F19" s="46" t="s">
        <v>186</v>
      </c>
    </row>
    <row r="20" spans="1:6" x14ac:dyDescent="0.4">
      <c r="A20" s="5">
        <v>4</v>
      </c>
      <c r="B20" s="43" t="s">
        <v>45</v>
      </c>
      <c r="C20" s="5"/>
      <c r="D20" s="44" t="s">
        <v>180</v>
      </c>
      <c r="E20" s="47"/>
      <c r="F20" s="46" t="s">
        <v>186</v>
      </c>
    </row>
    <row r="21" spans="1:6" x14ac:dyDescent="0.4">
      <c r="A21" s="5">
        <v>5</v>
      </c>
      <c r="B21" s="43" t="s">
        <v>42</v>
      </c>
      <c r="C21" s="5"/>
      <c r="D21" s="44" t="s">
        <v>180</v>
      </c>
      <c r="E21" s="47"/>
      <c r="F21" s="46" t="s">
        <v>186</v>
      </c>
    </row>
    <row r="22" spans="1:6" x14ac:dyDescent="0.4">
      <c r="A22" s="5">
        <v>6</v>
      </c>
      <c r="B22" s="43" t="s">
        <v>45</v>
      </c>
      <c r="C22" s="5"/>
      <c r="D22" s="44" t="s">
        <v>181</v>
      </c>
      <c r="E22" s="47"/>
      <c r="F22" s="46" t="s">
        <v>187</v>
      </c>
    </row>
    <row r="23" spans="1:6" x14ac:dyDescent="0.4">
      <c r="A23" s="5">
        <v>7</v>
      </c>
      <c r="B23" s="43" t="s">
        <v>48</v>
      </c>
      <c r="C23" s="5"/>
      <c r="D23" s="44" t="s">
        <v>182</v>
      </c>
      <c r="E23" s="47"/>
      <c r="F23" s="46" t="s">
        <v>187</v>
      </c>
    </row>
    <row r="24" spans="1:6" x14ac:dyDescent="0.4">
      <c r="A24" s="5">
        <v>8</v>
      </c>
      <c r="B24" s="43" t="s">
        <v>48</v>
      </c>
      <c r="C24" s="5"/>
      <c r="D24" s="44" t="s">
        <v>183</v>
      </c>
      <c r="E24" s="47"/>
      <c r="F24" s="46" t="s">
        <v>188</v>
      </c>
    </row>
    <row r="25" spans="1:6" x14ac:dyDescent="0.4">
      <c r="A25" s="5">
        <v>9</v>
      </c>
      <c r="B25" s="43" t="s">
        <v>45</v>
      </c>
      <c r="C25" s="5"/>
      <c r="D25" s="44" t="s">
        <v>184</v>
      </c>
      <c r="E25" s="47"/>
      <c r="F25" s="46" t="s">
        <v>189</v>
      </c>
    </row>
    <row r="26" spans="1:6" x14ac:dyDescent="0.4">
      <c r="A26" s="5">
        <v>10</v>
      </c>
      <c r="B26" s="43"/>
      <c r="C26" s="5"/>
      <c r="D26" s="44"/>
      <c r="E26" s="47"/>
      <c r="F26" s="46"/>
    </row>
    <row r="27" spans="1:6" x14ac:dyDescent="0.4">
      <c r="A27" s="5">
        <v>11</v>
      </c>
      <c r="B27" s="43"/>
      <c r="C27" s="5"/>
      <c r="D27" s="44"/>
      <c r="E27" s="47"/>
      <c r="F27" s="46"/>
    </row>
    <row r="28" spans="1:6" x14ac:dyDescent="0.4">
      <c r="A28" s="5">
        <v>12</v>
      </c>
      <c r="B28" s="43"/>
      <c r="C28" s="5"/>
      <c r="D28" s="44"/>
      <c r="E28" s="47"/>
      <c r="F28" s="46"/>
    </row>
    <row r="29" spans="1:6" x14ac:dyDescent="0.4">
      <c r="A29" s="5">
        <v>13</v>
      </c>
      <c r="B29" s="43"/>
      <c r="C29" s="5"/>
      <c r="D29" s="44"/>
      <c r="E29" s="47"/>
      <c r="F29" s="46"/>
    </row>
    <row r="30" spans="1:6" x14ac:dyDescent="0.4">
      <c r="A30" s="5">
        <v>14</v>
      </c>
      <c r="B30" s="43"/>
      <c r="C30" s="5"/>
      <c r="D30" s="44"/>
      <c r="E30" s="47"/>
      <c r="F30" s="46"/>
    </row>
    <row r="31" spans="1:6" x14ac:dyDescent="0.4">
      <c r="A31" s="5">
        <v>15</v>
      </c>
      <c r="B31" s="43"/>
      <c r="C31" s="5"/>
      <c r="D31" s="44"/>
      <c r="E31" s="47"/>
      <c r="F31" s="46"/>
    </row>
    <row r="32" spans="1:6" x14ac:dyDescent="0.4">
      <c r="A32" s="5">
        <v>16</v>
      </c>
      <c r="B32" s="43"/>
      <c r="C32" s="5"/>
      <c r="D32" s="44"/>
      <c r="E32" s="47"/>
      <c r="F32" s="46"/>
    </row>
    <row r="33" spans="1:6" x14ac:dyDescent="0.4">
      <c r="A33" s="5">
        <v>17</v>
      </c>
      <c r="B33" s="43"/>
      <c r="C33" s="5"/>
      <c r="D33" s="44"/>
      <c r="E33" s="47"/>
      <c r="F33" s="46"/>
    </row>
    <row r="34" spans="1:6" x14ac:dyDescent="0.4">
      <c r="A34" s="5">
        <v>18</v>
      </c>
      <c r="B34" s="43"/>
      <c r="C34" s="5"/>
      <c r="D34" s="44"/>
      <c r="E34" s="47"/>
      <c r="F34" s="46"/>
    </row>
    <row r="35" spans="1:6" x14ac:dyDescent="0.4">
      <c r="A35" s="5">
        <v>19</v>
      </c>
      <c r="B35" s="43"/>
      <c r="C35" s="5"/>
      <c r="D35" s="44"/>
      <c r="E35" s="47"/>
      <c r="F35" s="46"/>
    </row>
    <row r="36" spans="1:6" x14ac:dyDescent="0.4">
      <c r="A36" s="5">
        <v>20</v>
      </c>
      <c r="B36" s="43"/>
      <c r="C36" s="5"/>
      <c r="D36" s="44"/>
      <c r="E36" s="47"/>
      <c r="F36" s="46"/>
    </row>
    <row r="37" spans="1:6" x14ac:dyDescent="0.4">
      <c r="A37" s="5">
        <v>21</v>
      </c>
      <c r="B37" s="43"/>
      <c r="C37" s="5"/>
      <c r="D37" s="44"/>
      <c r="E37" s="47"/>
      <c r="F37" s="46"/>
    </row>
    <row r="38" spans="1:6" x14ac:dyDescent="0.4">
      <c r="A38" s="5">
        <v>22</v>
      </c>
      <c r="B38" s="43"/>
      <c r="C38" s="5"/>
      <c r="D38" s="44"/>
      <c r="E38" s="47"/>
      <c r="F38" s="46"/>
    </row>
    <row r="39" spans="1:6" x14ac:dyDescent="0.4">
      <c r="A39" s="5">
        <v>23</v>
      </c>
      <c r="B39" s="43"/>
      <c r="C39" s="5"/>
      <c r="D39" s="44"/>
      <c r="E39" s="47"/>
      <c r="F39" s="46"/>
    </row>
    <row r="40" spans="1:6" x14ac:dyDescent="0.4">
      <c r="A40" s="5">
        <v>24</v>
      </c>
      <c r="B40" s="43"/>
      <c r="C40" s="5"/>
      <c r="D40" s="44"/>
      <c r="E40" s="47"/>
      <c r="F40" s="46"/>
    </row>
    <row r="41" spans="1:6" x14ac:dyDescent="0.4">
      <c r="A41" s="5">
        <v>25</v>
      </c>
      <c r="B41" s="43"/>
      <c r="C41" s="5"/>
      <c r="D41" s="44"/>
      <c r="E41" s="47"/>
      <c r="F41" s="46"/>
    </row>
    <row r="42" spans="1:6" x14ac:dyDescent="0.4">
      <c r="A42" s="5">
        <v>26</v>
      </c>
      <c r="B42" s="43"/>
      <c r="C42" s="5"/>
      <c r="D42" s="44"/>
      <c r="E42" s="47"/>
      <c r="F42" s="46"/>
    </row>
    <row r="43" spans="1:6" x14ac:dyDescent="0.4">
      <c r="A43" s="5">
        <v>27</v>
      </c>
      <c r="B43" s="43"/>
      <c r="C43" s="5"/>
      <c r="D43" s="44"/>
      <c r="E43" s="47"/>
      <c r="F43" s="46"/>
    </row>
    <row r="44" spans="1:6" x14ac:dyDescent="0.4">
      <c r="A44" s="5">
        <v>28</v>
      </c>
      <c r="B44" s="43"/>
      <c r="C44" s="5"/>
      <c r="D44" s="44"/>
      <c r="E44" s="47"/>
      <c r="F44" s="46"/>
    </row>
    <row r="45" spans="1:6" x14ac:dyDescent="0.4">
      <c r="A45" s="5">
        <v>29</v>
      </c>
      <c r="B45" s="43"/>
      <c r="C45" s="5"/>
      <c r="D45" s="44"/>
      <c r="E45" s="47"/>
      <c r="F45" s="46"/>
    </row>
    <row r="46" spans="1:6" x14ac:dyDescent="0.4">
      <c r="A46" s="5">
        <v>30</v>
      </c>
      <c r="B46" s="43"/>
      <c r="C46" s="5"/>
      <c r="D46" s="44"/>
      <c r="E46" s="47"/>
      <c r="F46" s="46"/>
    </row>
    <row r="47" spans="1:6" x14ac:dyDescent="0.4">
      <c r="A47" s="5">
        <v>31</v>
      </c>
      <c r="B47" s="43"/>
      <c r="C47" s="5"/>
      <c r="D47" s="44"/>
      <c r="E47" s="47"/>
      <c r="F47" s="46"/>
    </row>
    <row r="48" spans="1:6" x14ac:dyDescent="0.4">
      <c r="A48" s="5">
        <v>32</v>
      </c>
      <c r="B48" s="43"/>
      <c r="C48" s="5"/>
      <c r="D48" s="44"/>
      <c r="E48" s="47"/>
      <c r="F48" s="46"/>
    </row>
    <row r="49" spans="1:6" x14ac:dyDescent="0.4">
      <c r="A49" s="5">
        <v>33</v>
      </c>
      <c r="B49" s="43"/>
      <c r="C49" s="5"/>
      <c r="D49" s="44"/>
      <c r="E49" s="47"/>
      <c r="F49" s="46"/>
    </row>
    <row r="50" spans="1:6" x14ac:dyDescent="0.4">
      <c r="A50" s="5">
        <v>34</v>
      </c>
      <c r="B50" s="43"/>
      <c r="C50" s="5"/>
      <c r="D50" s="44"/>
      <c r="E50" s="47"/>
      <c r="F50" s="46"/>
    </row>
    <row r="51" spans="1:6" x14ac:dyDescent="0.4">
      <c r="A51" s="5">
        <v>35</v>
      </c>
      <c r="B51" s="43"/>
      <c r="C51" s="5"/>
      <c r="D51" s="44"/>
      <c r="E51" s="47"/>
      <c r="F51" s="46"/>
    </row>
    <row r="52" spans="1:6" x14ac:dyDescent="0.4">
      <c r="A52" s="5">
        <v>36</v>
      </c>
      <c r="B52" s="43"/>
      <c r="C52" s="5"/>
      <c r="D52" s="44"/>
      <c r="E52" s="47"/>
      <c r="F52" s="46"/>
    </row>
    <row r="53" spans="1:6" x14ac:dyDescent="0.4">
      <c r="A53" s="5">
        <v>37</v>
      </c>
      <c r="B53" s="43"/>
      <c r="C53" s="5"/>
      <c r="D53" s="44"/>
      <c r="E53" s="47"/>
      <c r="F53" s="46"/>
    </row>
    <row r="54" spans="1:6" x14ac:dyDescent="0.4">
      <c r="A54" s="5">
        <v>38</v>
      </c>
      <c r="B54" s="43"/>
      <c r="C54" s="5"/>
      <c r="D54" s="44"/>
      <c r="E54" s="47"/>
      <c r="F54" s="46"/>
    </row>
    <row r="55" spans="1:6" x14ac:dyDescent="0.4">
      <c r="A55" s="5">
        <v>39</v>
      </c>
      <c r="B55" s="43"/>
      <c r="C55" s="5"/>
      <c r="D55" s="44"/>
      <c r="E55" s="47"/>
      <c r="F55" s="46"/>
    </row>
    <row r="56" spans="1:6" x14ac:dyDescent="0.4">
      <c r="A56" s="5">
        <v>40</v>
      </c>
      <c r="B56" s="43"/>
      <c r="C56" s="5"/>
      <c r="D56" s="44"/>
      <c r="E56" s="47"/>
      <c r="F56" s="46"/>
    </row>
    <row r="57" spans="1:6" x14ac:dyDescent="0.4">
      <c r="A57" s="5">
        <v>41</v>
      </c>
      <c r="B57" s="43"/>
      <c r="C57" s="5"/>
      <c r="D57" s="44"/>
      <c r="E57" s="47"/>
      <c r="F57" s="46"/>
    </row>
    <row r="58" spans="1:6" x14ac:dyDescent="0.4">
      <c r="A58" s="5">
        <v>42</v>
      </c>
      <c r="B58" s="43"/>
      <c r="C58" s="5"/>
      <c r="D58" s="44"/>
      <c r="E58" s="47"/>
      <c r="F58" s="46"/>
    </row>
    <row r="59" spans="1:6" x14ac:dyDescent="0.4">
      <c r="A59" s="5">
        <v>43</v>
      </c>
      <c r="B59" s="43"/>
      <c r="C59" s="5"/>
      <c r="D59" s="44"/>
      <c r="E59" s="47"/>
      <c r="F59" s="46"/>
    </row>
    <row r="60" spans="1:6" x14ac:dyDescent="0.4">
      <c r="A60" s="5">
        <v>44</v>
      </c>
      <c r="B60" s="43"/>
      <c r="C60" s="5"/>
      <c r="D60" s="44"/>
      <c r="E60" s="47"/>
      <c r="F60" s="46"/>
    </row>
    <row r="61" spans="1:6" x14ac:dyDescent="0.4">
      <c r="A61" s="5">
        <v>45</v>
      </c>
      <c r="B61" s="43"/>
      <c r="C61" s="5"/>
      <c r="D61" s="44"/>
      <c r="E61" s="47"/>
      <c r="F61" s="46"/>
    </row>
    <row r="62" spans="1:6" x14ac:dyDescent="0.4">
      <c r="A62" s="5">
        <v>46</v>
      </c>
      <c r="B62" s="43"/>
      <c r="C62" s="5"/>
      <c r="D62" s="44"/>
      <c r="E62" s="47"/>
      <c r="F62" s="46"/>
    </row>
    <row r="63" spans="1:6" x14ac:dyDescent="0.4">
      <c r="A63" s="5">
        <v>47</v>
      </c>
      <c r="B63" s="43"/>
      <c r="C63" s="5"/>
      <c r="D63" s="44"/>
      <c r="E63" s="47"/>
      <c r="F63" s="46"/>
    </row>
    <row r="64" spans="1:6" x14ac:dyDescent="0.4">
      <c r="A64" s="5">
        <v>48</v>
      </c>
      <c r="B64" s="43"/>
      <c r="C64" s="5"/>
      <c r="D64" s="44"/>
      <c r="E64" s="47"/>
      <c r="F64" s="46"/>
    </row>
    <row r="65" spans="1:6" x14ac:dyDescent="0.4">
      <c r="A65" s="5">
        <v>49</v>
      </c>
      <c r="B65" s="43"/>
      <c r="C65" s="5"/>
      <c r="D65" s="44"/>
      <c r="E65" s="47"/>
      <c r="F65" s="46"/>
    </row>
    <row r="66" spans="1:6" x14ac:dyDescent="0.4">
      <c r="A66" s="5">
        <v>50</v>
      </c>
      <c r="B66" s="43"/>
      <c r="C66" s="5"/>
      <c r="D66" s="44"/>
      <c r="E66" s="47"/>
      <c r="F66" s="46"/>
    </row>
    <row r="67" spans="1:6" x14ac:dyDescent="0.4">
      <c r="A67" s="5">
        <v>51</v>
      </c>
      <c r="B67" s="43"/>
      <c r="C67" s="5"/>
      <c r="D67" s="44"/>
      <c r="E67" s="47"/>
      <c r="F67" s="46"/>
    </row>
    <row r="68" spans="1:6" x14ac:dyDescent="0.4">
      <c r="A68" s="5">
        <v>52</v>
      </c>
      <c r="B68" s="43"/>
      <c r="C68" s="5"/>
      <c r="D68" s="44"/>
      <c r="E68" s="47"/>
      <c r="F68" s="46"/>
    </row>
    <row r="69" spans="1:6" x14ac:dyDescent="0.4">
      <c r="A69" s="5">
        <v>53</v>
      </c>
      <c r="B69" s="43"/>
      <c r="C69" s="5"/>
      <c r="D69" s="44"/>
      <c r="E69" s="47"/>
      <c r="F69" s="46"/>
    </row>
    <row r="70" spans="1:6" x14ac:dyDescent="0.4">
      <c r="A70" s="5">
        <v>54</v>
      </c>
      <c r="B70" s="43"/>
      <c r="C70" s="5"/>
      <c r="D70" s="44"/>
      <c r="E70" s="47"/>
      <c r="F70" s="46"/>
    </row>
    <row r="71" spans="1:6" x14ac:dyDescent="0.4">
      <c r="A71" s="5">
        <v>55</v>
      </c>
      <c r="B71" s="43"/>
      <c r="C71" s="5"/>
      <c r="D71" s="44"/>
      <c r="E71" s="47"/>
      <c r="F71" s="46"/>
    </row>
    <row r="72" spans="1:6" x14ac:dyDescent="0.4">
      <c r="A72" s="5">
        <v>56</v>
      </c>
      <c r="B72" s="43"/>
      <c r="C72" s="5"/>
      <c r="D72" s="44"/>
      <c r="E72" s="47"/>
      <c r="F72" s="46"/>
    </row>
    <row r="73" spans="1:6" x14ac:dyDescent="0.4">
      <c r="A73" s="5">
        <v>57</v>
      </c>
      <c r="B73" s="43"/>
      <c r="C73" s="5"/>
      <c r="D73" s="44"/>
      <c r="E73" s="47"/>
      <c r="F73" s="46"/>
    </row>
    <row r="74" spans="1:6" x14ac:dyDescent="0.4">
      <c r="A74" s="5">
        <v>58</v>
      </c>
      <c r="B74" s="43"/>
      <c r="C74" s="5"/>
      <c r="D74" s="44"/>
      <c r="E74" s="47"/>
      <c r="F74" s="46"/>
    </row>
    <row r="75" spans="1:6" x14ac:dyDescent="0.4">
      <c r="A75" s="5">
        <v>59</v>
      </c>
      <c r="B75" s="43"/>
      <c r="C75" s="5"/>
      <c r="D75" s="44"/>
      <c r="E75" s="47"/>
      <c r="F75" s="46"/>
    </row>
    <row r="76" spans="1:6" x14ac:dyDescent="0.4">
      <c r="A76" s="5">
        <v>60</v>
      </c>
      <c r="B76" s="43"/>
      <c r="C76" s="5"/>
      <c r="D76" s="44"/>
      <c r="E76" s="47"/>
      <c r="F76" s="46"/>
    </row>
    <row r="77" spans="1:6" x14ac:dyDescent="0.4">
      <c r="A77" s="5">
        <v>61</v>
      </c>
      <c r="B77" s="43"/>
      <c r="C77" s="5"/>
      <c r="D77" s="44"/>
      <c r="E77" s="47"/>
      <c r="F77" s="46"/>
    </row>
    <row r="78" spans="1:6" x14ac:dyDescent="0.4">
      <c r="A78" s="5">
        <v>62</v>
      </c>
      <c r="B78" s="43"/>
      <c r="C78" s="5"/>
      <c r="D78" s="44"/>
      <c r="E78" s="47"/>
      <c r="F78" s="46"/>
    </row>
    <row r="79" spans="1:6" x14ac:dyDescent="0.4">
      <c r="A79" s="5">
        <v>63</v>
      </c>
      <c r="B79" s="43"/>
      <c r="C79" s="5"/>
      <c r="D79" s="44"/>
      <c r="E79" s="47"/>
      <c r="F79" s="46"/>
    </row>
    <row r="80" spans="1:6" x14ac:dyDescent="0.4">
      <c r="A80" s="5">
        <v>64</v>
      </c>
      <c r="B80" s="43"/>
      <c r="C80" s="5"/>
      <c r="D80" s="44"/>
      <c r="E80" s="47"/>
      <c r="F80" s="46"/>
    </row>
    <row r="81" spans="1:6" x14ac:dyDescent="0.4">
      <c r="A81" s="5">
        <v>65</v>
      </c>
      <c r="B81" s="43"/>
      <c r="C81" s="5"/>
      <c r="D81" s="44"/>
      <c r="E81" s="47"/>
      <c r="F81" s="46"/>
    </row>
    <row r="82" spans="1:6" x14ac:dyDescent="0.4">
      <c r="A82" s="5">
        <v>66</v>
      </c>
      <c r="B82" s="43"/>
      <c r="C82" s="5"/>
      <c r="D82" s="44"/>
      <c r="E82" s="47"/>
      <c r="F82" s="46"/>
    </row>
    <row r="83" spans="1:6" x14ac:dyDescent="0.4">
      <c r="A83" s="5">
        <v>67</v>
      </c>
      <c r="B83" s="43"/>
      <c r="C83" s="5"/>
      <c r="D83" s="44"/>
      <c r="E83" s="47"/>
      <c r="F83" s="46"/>
    </row>
    <row r="84" spans="1:6" x14ac:dyDescent="0.4">
      <c r="A84" s="5">
        <v>68</v>
      </c>
      <c r="B84" s="43"/>
      <c r="C84" s="5"/>
      <c r="D84" s="44"/>
      <c r="E84" s="47"/>
      <c r="F84" s="46"/>
    </row>
    <row r="85" spans="1:6" x14ac:dyDescent="0.4">
      <c r="A85" s="5">
        <v>69</v>
      </c>
      <c r="B85" s="43"/>
      <c r="C85" s="5"/>
      <c r="D85" s="44"/>
      <c r="E85" s="47"/>
      <c r="F85" s="46"/>
    </row>
    <row r="86" spans="1:6" x14ac:dyDescent="0.4">
      <c r="A86" s="5">
        <v>70</v>
      </c>
      <c r="B86" s="43"/>
      <c r="C86" s="5"/>
      <c r="D86" s="44"/>
      <c r="E86" s="47"/>
      <c r="F86" s="46"/>
    </row>
    <row r="87" spans="1:6" x14ac:dyDescent="0.4">
      <c r="A87" s="5">
        <v>71</v>
      </c>
      <c r="B87" s="43"/>
      <c r="C87" s="5"/>
      <c r="D87" s="44"/>
      <c r="E87" s="47"/>
      <c r="F87" s="46"/>
    </row>
    <row r="88" spans="1:6" x14ac:dyDescent="0.4">
      <c r="A88" s="5">
        <v>72</v>
      </c>
      <c r="B88" s="43"/>
      <c r="C88" s="5"/>
      <c r="D88" s="44"/>
      <c r="E88" s="47"/>
      <c r="F88" s="46"/>
    </row>
    <row r="89" spans="1:6" x14ac:dyDescent="0.4">
      <c r="A89" s="5">
        <v>73</v>
      </c>
      <c r="B89" s="43"/>
      <c r="C89" s="5"/>
      <c r="D89" s="44"/>
      <c r="E89" s="47"/>
      <c r="F89" s="46"/>
    </row>
    <row r="90" spans="1:6" x14ac:dyDescent="0.4">
      <c r="A90" s="5">
        <v>74</v>
      </c>
      <c r="B90" s="43"/>
      <c r="C90" s="5"/>
      <c r="D90" s="44"/>
      <c r="E90" s="47"/>
      <c r="F90" s="46"/>
    </row>
    <row r="91" spans="1:6" x14ac:dyDescent="0.4">
      <c r="A91" s="5">
        <v>75</v>
      </c>
      <c r="B91" s="43"/>
      <c r="C91" s="5"/>
      <c r="D91" s="44"/>
      <c r="E91" s="47"/>
      <c r="F91" s="46"/>
    </row>
    <row r="92" spans="1:6" x14ac:dyDescent="0.4">
      <c r="A92" s="5">
        <v>76</v>
      </c>
      <c r="B92" s="43"/>
      <c r="C92" s="5"/>
      <c r="D92" s="44"/>
      <c r="E92" s="47"/>
      <c r="F92" s="46"/>
    </row>
    <row r="93" spans="1:6" x14ac:dyDescent="0.4">
      <c r="A93" s="5">
        <v>77</v>
      </c>
      <c r="B93" s="43"/>
      <c r="C93" s="5"/>
      <c r="D93" s="44"/>
      <c r="E93" s="47"/>
      <c r="F93" s="46"/>
    </row>
    <row r="94" spans="1:6" x14ac:dyDescent="0.4">
      <c r="A94" s="5">
        <v>78</v>
      </c>
      <c r="B94" s="43"/>
      <c r="C94" s="5"/>
      <c r="D94" s="44"/>
      <c r="E94" s="47"/>
      <c r="F94" s="46"/>
    </row>
    <row r="95" spans="1:6" x14ac:dyDescent="0.4">
      <c r="A95" s="5">
        <v>79</v>
      </c>
      <c r="B95" s="43"/>
      <c r="C95" s="5"/>
      <c r="D95" s="44"/>
      <c r="E95" s="47"/>
      <c r="F95" s="46"/>
    </row>
    <row r="96" spans="1:6" x14ac:dyDescent="0.4">
      <c r="A96" s="5">
        <v>80</v>
      </c>
      <c r="B96" s="43"/>
      <c r="C96" s="5"/>
      <c r="D96" s="44"/>
      <c r="E96" s="47"/>
      <c r="F96" s="46"/>
    </row>
    <row r="97" spans="1:6" x14ac:dyDescent="0.4">
      <c r="A97" s="5">
        <v>81</v>
      </c>
      <c r="B97" s="43"/>
      <c r="C97" s="5"/>
      <c r="D97" s="44"/>
      <c r="E97" s="47"/>
      <c r="F97" s="46"/>
    </row>
    <row r="98" spans="1:6" x14ac:dyDescent="0.4">
      <c r="A98" s="5">
        <v>82</v>
      </c>
      <c r="B98" s="43"/>
      <c r="C98" s="5"/>
      <c r="D98" s="44"/>
      <c r="E98" s="47"/>
      <c r="F98" s="46"/>
    </row>
    <row r="99" spans="1:6" x14ac:dyDescent="0.4">
      <c r="A99" s="5">
        <v>83</v>
      </c>
      <c r="B99" s="43"/>
      <c r="C99" s="5"/>
      <c r="D99" s="44"/>
      <c r="E99" s="47"/>
      <c r="F99" s="46"/>
    </row>
    <row r="100" spans="1:6" x14ac:dyDescent="0.4">
      <c r="A100" s="5">
        <v>84</v>
      </c>
      <c r="B100" s="43"/>
      <c r="C100" s="5"/>
      <c r="D100" s="44"/>
      <c r="E100" s="47"/>
      <c r="F100" s="46"/>
    </row>
  </sheetData>
  <phoneticPr fontId="12" type="noConversion"/>
  <dataValidations count="5">
    <dataValidation operator="equal" allowBlank="1" showInputMessage="1" showErrorMessage="1" promptTitle="Task ID" prompt="This is just an arbitrary unique (per sprint) integer assigned to a task, used by the team to refer to that task. " sqref="A17:A100" xr:uid="{00000000-0002-0000-0300-000000000000}">
      <formula1>0</formula1>
      <formula2>0</formula2>
    </dataValidation>
    <dataValidation type="list" operator="equal" allowBlank="1" showInputMessage="1" showErrorMessage="1" promptTitle="Select Feature ID from Product Backlog" sqref="C17:C100" xr:uid="{00000000-0002-0000-0300-000002000000}">
      <formula1>#REF!</formula1>
      <formula2>0</formula2>
    </dataValidation>
    <dataValidation operator="equal" allowBlank="1" showInputMessage="1" showErrorMessage="1" promptTitle="Task Description" sqref="D18:D100" xr:uid="{00000000-0002-0000-0300-000003000000}">
      <formula1>0</formula1>
      <formula2>0</formula2>
    </dataValidation>
    <dataValidation type="list" operator="equal" allowBlank="1" showInputMessage="1" showErrorMessage="1" errorTitle="Wrong Value" error="This cell may only contain a valid status value (hint: use the drop-down selection list) or be left blank (hint: use the Delete key)" promptTitle="Implementation Status" prompt="Leave blank until task is begun._x000a_Select &quot;In Work&quot; when started (for long tasks only)._x000a_Select Completed ONLY when this task is done._x000a_    Select &quot;Completed Day 1&quot; if finished on the first day, and_x000a_    similarly for &quot;Completed on Day 2&quot; et. al." sqref="E17:E100" xr:uid="{00000000-0002-0000-0300-000004000000}">
      <formula1>"In Work,Completed Day 1,Completed Day 2,Completed Day 3,Completed Day 4,Completed Day 5,Completed Day 6,Completed Day 7"</formula1>
      <formula2>0</formula2>
    </dataValidation>
    <dataValidation operator="equal" allowBlank="1" showInputMessage="1" showErrorMessage="1" promptTitle="OPTIONAL" prompt="You may add any notes here that help understand the requirements and scope for this task" sqref="F17:F100" xr:uid="{00000000-0002-0000-0300-000005000000}">
      <formula1>0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&amp;C&amp;A</oddHeader>
    <oddFooter>&amp;CPage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InputMessage="1" showErrorMessage="1" promptTitle="Select Feature ID from Product Backlog" xr:uid="{00000000-0002-0000-0300-000001000000}">
          <x14:formula1>
            <xm:f>'Product Backlog'!$A$24:$A$95</xm:f>
          </x14:formula1>
          <x14:formula2>
            <xm:f>0</xm:f>
          </x14:formula2>
          <xm:sqref>B17:B100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100"/>
  <sheetViews>
    <sheetView zoomScale="80" zoomScaleNormal="80" workbookViewId="0">
      <selection activeCell="F100" sqref="F100"/>
    </sheetView>
  </sheetViews>
  <sheetFormatPr defaultRowHeight="12.3" x14ac:dyDescent="0.4"/>
  <cols>
    <col min="1" max="1" width="10.33203125" customWidth="1"/>
    <col min="2" max="2" width="11.5"/>
    <col min="3" max="3" width="12.27734375" customWidth="1"/>
    <col min="4" max="4" width="51.83203125" customWidth="1"/>
    <col min="5" max="5" width="17.77734375" customWidth="1"/>
    <col min="6" max="6" width="51.83203125" customWidth="1"/>
    <col min="7" max="1025" width="11.5"/>
  </cols>
  <sheetData>
    <row r="1" spans="1:1024" s="36" customFormat="1" ht="17.7" x14ac:dyDescent="0.6">
      <c r="A1" s="33" t="s">
        <v>11</v>
      </c>
      <c r="B1" s="33">
        <f>'Sprint 03 Backlog'!B1+1</f>
        <v>4</v>
      </c>
      <c r="C1" s="33"/>
      <c r="D1" s="34" t="s">
        <v>2</v>
      </c>
      <c r="E1"/>
      <c r="F1" s="33"/>
      <c r="AMI1"/>
      <c r="AMJ1"/>
    </row>
    <row r="2" spans="1:1024" s="36" customFormat="1" x14ac:dyDescent="0.4">
      <c r="A2" s="33" t="s">
        <v>110</v>
      </c>
      <c r="B2" s="37">
        <f>'Sprint 03 Backlog'!B2+14</f>
        <v>43935</v>
      </c>
      <c r="C2" s="33"/>
      <c r="D2" s="38" t="s">
        <v>111</v>
      </c>
      <c r="E2" s="33"/>
      <c r="F2" s="33"/>
      <c r="AMI2"/>
      <c r="AMJ2"/>
    </row>
    <row r="3" spans="1:1024" s="36" customFormat="1" x14ac:dyDescent="0.4">
      <c r="A3" s="33" t="s">
        <v>112</v>
      </c>
      <c r="B3" s="37">
        <f>B2+14</f>
        <v>43949</v>
      </c>
      <c r="C3" s="33"/>
      <c r="D3" s="33"/>
      <c r="E3" s="33"/>
      <c r="F3" s="33"/>
      <c r="AMI3"/>
      <c r="AMJ3"/>
    </row>
    <row r="4" spans="1:1024" s="36" customFormat="1" x14ac:dyDescent="0.4">
      <c r="A4" s="33" t="s">
        <v>113</v>
      </c>
      <c r="B4" s="39" t="s">
        <v>114</v>
      </c>
      <c r="C4" s="33"/>
      <c r="D4" s="33"/>
      <c r="E4" s="33"/>
      <c r="F4" s="33"/>
      <c r="AMI4"/>
      <c r="AMJ4"/>
    </row>
    <row r="5" spans="1:1024" s="36" customFormat="1" x14ac:dyDescent="0.4">
      <c r="A5" s="33"/>
      <c r="B5" s="39"/>
      <c r="C5" s="33"/>
      <c r="D5" s="33"/>
      <c r="E5" s="33"/>
      <c r="F5" s="33"/>
      <c r="AMI5"/>
      <c r="AMJ5"/>
    </row>
    <row r="6" spans="1:1024" s="36" customFormat="1" x14ac:dyDescent="0.4">
      <c r="A6" s="33"/>
      <c r="B6" s="40" t="s">
        <v>12</v>
      </c>
      <c r="C6" s="33" t="s">
        <v>115</v>
      </c>
      <c r="D6" s="33"/>
      <c r="E6" s="33"/>
      <c r="F6" s="33"/>
      <c r="AMI6"/>
      <c r="AMJ6"/>
    </row>
    <row r="7" spans="1:1024" s="36" customFormat="1" x14ac:dyDescent="0.4">
      <c r="A7" s="33" t="s">
        <v>116</v>
      </c>
      <c r="B7" s="33">
        <f>COUNTA(D17:D995)</f>
        <v>1</v>
      </c>
      <c r="C7" s="33"/>
      <c r="D7" s="33"/>
      <c r="E7" s="33"/>
      <c r="F7" s="33"/>
      <c r="AMI7"/>
      <c r="AMJ7"/>
    </row>
    <row r="8" spans="1:1024" s="36" customFormat="1" x14ac:dyDescent="0.4">
      <c r="A8" s="33" t="s">
        <v>117</v>
      </c>
      <c r="B8" s="33">
        <f t="shared" ref="B8:B14" si="0">B7-C8</f>
        <v>1</v>
      </c>
      <c r="C8" s="33">
        <f>COUNTIF(E$17:E$995, "Completed Day 1")</f>
        <v>0</v>
      </c>
      <c r="D8" s="33"/>
      <c r="E8" s="33"/>
      <c r="F8" s="33"/>
      <c r="AMI8"/>
      <c r="AMJ8"/>
    </row>
    <row r="9" spans="1:1024" s="36" customFormat="1" x14ac:dyDescent="0.4">
      <c r="A9" s="33" t="s">
        <v>118</v>
      </c>
      <c r="B9" s="33">
        <f t="shared" si="0"/>
        <v>1</v>
      </c>
      <c r="C9" s="33">
        <f>COUNTIF(E$17:E$995, "Completed Day 2")</f>
        <v>0</v>
      </c>
      <c r="D9" s="33"/>
      <c r="E9" s="33"/>
      <c r="F9" s="33"/>
      <c r="AMI9"/>
      <c r="AMJ9"/>
    </row>
    <row r="10" spans="1:1024" s="36" customFormat="1" x14ac:dyDescent="0.4">
      <c r="A10" s="33" t="s">
        <v>119</v>
      </c>
      <c r="B10" s="33">
        <f t="shared" si="0"/>
        <v>1</v>
      </c>
      <c r="C10" s="33">
        <f>COUNTIF(E$17:E$995, "Completed Day 3")</f>
        <v>0</v>
      </c>
      <c r="D10" s="33"/>
      <c r="E10" s="33"/>
      <c r="F10" s="33"/>
      <c r="AMI10"/>
      <c r="AMJ10"/>
    </row>
    <row r="11" spans="1:1024" s="36" customFormat="1" x14ac:dyDescent="0.4">
      <c r="A11" s="33" t="s">
        <v>120</v>
      </c>
      <c r="B11" s="33">
        <f t="shared" si="0"/>
        <v>1</v>
      </c>
      <c r="C11" s="33">
        <f>COUNTIF(E$17:E$995, "Completed Day 4")</f>
        <v>0</v>
      </c>
      <c r="D11" s="33"/>
      <c r="E11" s="33"/>
      <c r="F11" s="33"/>
      <c r="AMI11"/>
      <c r="AMJ11"/>
    </row>
    <row r="12" spans="1:1024" s="36" customFormat="1" x14ac:dyDescent="0.4">
      <c r="A12" s="33" t="s">
        <v>121</v>
      </c>
      <c r="B12" s="33">
        <f t="shared" si="0"/>
        <v>1</v>
      </c>
      <c r="C12" s="33">
        <f>COUNTIF(E$17:E$995, "Completed Day 5")</f>
        <v>0</v>
      </c>
      <c r="D12" s="33"/>
      <c r="E12" s="33"/>
      <c r="F12" s="33"/>
      <c r="AMI12"/>
      <c r="AMJ12"/>
    </row>
    <row r="13" spans="1:1024" s="36" customFormat="1" x14ac:dyDescent="0.4">
      <c r="A13" s="33" t="s">
        <v>122</v>
      </c>
      <c r="B13" s="33">
        <f t="shared" si="0"/>
        <v>1</v>
      </c>
      <c r="C13" s="33">
        <f>COUNTIF(E$17:E$995, "Completed Day 6")</f>
        <v>0</v>
      </c>
      <c r="D13" s="33"/>
      <c r="E13" s="33"/>
      <c r="F13" s="33"/>
      <c r="AMI13"/>
      <c r="AMJ13"/>
    </row>
    <row r="14" spans="1:1024" s="36" customFormat="1" x14ac:dyDescent="0.4">
      <c r="A14" s="33" t="s">
        <v>123</v>
      </c>
      <c r="B14" s="33">
        <f t="shared" si="0"/>
        <v>1</v>
      </c>
      <c r="C14" s="33">
        <f>COUNTIF(E$17:E$995, "Completed Day 7")</f>
        <v>0</v>
      </c>
      <c r="D14" s="33"/>
      <c r="E14" s="33"/>
      <c r="F14" s="33"/>
      <c r="AMI14"/>
      <c r="AMJ14"/>
    </row>
    <row r="15" spans="1:1024" s="36" customFormat="1" x14ac:dyDescent="0.4">
      <c r="A15" s="33"/>
      <c r="B15" s="33"/>
      <c r="C15" s="33"/>
      <c r="D15" s="33"/>
      <c r="E15" s="33"/>
      <c r="F15" s="33"/>
      <c r="AMI15"/>
      <c r="AMJ15"/>
    </row>
    <row r="16" spans="1:1024" x14ac:dyDescent="0.4">
      <c r="A16" s="41" t="s">
        <v>124</v>
      </c>
      <c r="B16" s="41" t="s">
        <v>23</v>
      </c>
      <c r="C16" s="41" t="s">
        <v>125</v>
      </c>
      <c r="D16" s="41" t="s">
        <v>126</v>
      </c>
      <c r="E16" s="41" t="s">
        <v>28</v>
      </c>
      <c r="F16" s="41" t="s">
        <v>32</v>
      </c>
    </row>
    <row r="17" spans="1:6" ht="36.9" x14ac:dyDescent="0.4">
      <c r="A17" s="5">
        <v>1</v>
      </c>
      <c r="B17" s="43"/>
      <c r="C17" s="5"/>
      <c r="D17" s="48" t="s">
        <v>178</v>
      </c>
      <c r="E17" s="47"/>
      <c r="F17" s="46" t="s">
        <v>133</v>
      </c>
    </row>
    <row r="18" spans="1:6" x14ac:dyDescent="0.4">
      <c r="A18" s="5">
        <v>2</v>
      </c>
      <c r="B18" s="43"/>
      <c r="C18" s="5"/>
      <c r="D18" s="44"/>
      <c r="E18" s="47"/>
      <c r="F18" s="46"/>
    </row>
    <row r="19" spans="1:6" x14ac:dyDescent="0.4">
      <c r="A19" s="5">
        <v>3</v>
      </c>
      <c r="B19" s="43"/>
      <c r="C19" s="5"/>
      <c r="D19" s="44"/>
      <c r="E19" s="47"/>
      <c r="F19" s="46"/>
    </row>
    <row r="20" spans="1:6" x14ac:dyDescent="0.4">
      <c r="A20" s="5">
        <v>4</v>
      </c>
      <c r="B20" s="43"/>
      <c r="C20" s="5"/>
      <c r="D20" s="44"/>
      <c r="E20" s="47"/>
      <c r="F20" s="46"/>
    </row>
    <row r="21" spans="1:6" x14ac:dyDescent="0.4">
      <c r="A21" s="5">
        <v>5</v>
      </c>
      <c r="B21" s="43"/>
      <c r="C21" s="5"/>
      <c r="D21" s="44"/>
      <c r="E21" s="47"/>
      <c r="F21" s="46"/>
    </row>
    <row r="22" spans="1:6" x14ac:dyDescent="0.4">
      <c r="A22" s="5">
        <v>6</v>
      </c>
      <c r="B22" s="43"/>
      <c r="C22" s="5"/>
      <c r="D22" s="44"/>
      <c r="E22" s="47"/>
      <c r="F22" s="46"/>
    </row>
    <row r="23" spans="1:6" x14ac:dyDescent="0.4">
      <c r="A23" s="5">
        <v>7</v>
      </c>
      <c r="B23" s="43"/>
      <c r="C23" s="5"/>
      <c r="D23" s="44"/>
      <c r="E23" s="47"/>
      <c r="F23" s="46"/>
    </row>
    <row r="24" spans="1:6" x14ac:dyDescent="0.4">
      <c r="A24" s="5">
        <v>8</v>
      </c>
      <c r="B24" s="43"/>
      <c r="C24" s="5"/>
      <c r="D24" s="44"/>
      <c r="E24" s="47"/>
      <c r="F24" s="46"/>
    </row>
    <row r="25" spans="1:6" x14ac:dyDescent="0.4">
      <c r="A25" s="5">
        <v>9</v>
      </c>
      <c r="B25" s="43"/>
      <c r="C25" s="5"/>
      <c r="D25" s="44"/>
      <c r="E25" s="47"/>
      <c r="F25" s="46"/>
    </row>
    <row r="26" spans="1:6" x14ac:dyDescent="0.4">
      <c r="A26" s="5">
        <v>10</v>
      </c>
      <c r="B26" s="43"/>
      <c r="C26" s="5"/>
      <c r="D26" s="44"/>
      <c r="E26" s="47"/>
      <c r="F26" s="46"/>
    </row>
    <row r="27" spans="1:6" x14ac:dyDescent="0.4">
      <c r="A27" s="5">
        <v>11</v>
      </c>
      <c r="B27" s="43"/>
      <c r="C27" s="5"/>
      <c r="D27" s="44"/>
      <c r="E27" s="47"/>
      <c r="F27" s="46"/>
    </row>
    <row r="28" spans="1:6" x14ac:dyDescent="0.4">
      <c r="A28" s="5">
        <v>12</v>
      </c>
      <c r="B28" s="43"/>
      <c r="C28" s="5"/>
      <c r="D28" s="44"/>
      <c r="E28" s="47"/>
      <c r="F28" s="46"/>
    </row>
    <row r="29" spans="1:6" x14ac:dyDescent="0.4">
      <c r="A29" s="5">
        <v>13</v>
      </c>
      <c r="B29" s="43"/>
      <c r="C29" s="5"/>
      <c r="D29" s="44"/>
      <c r="E29" s="47"/>
      <c r="F29" s="46"/>
    </row>
    <row r="30" spans="1:6" x14ac:dyDescent="0.4">
      <c r="A30" s="5">
        <v>14</v>
      </c>
      <c r="B30" s="43"/>
      <c r="C30" s="5"/>
      <c r="D30" s="44"/>
      <c r="E30" s="47"/>
      <c r="F30" s="46"/>
    </row>
    <row r="31" spans="1:6" x14ac:dyDescent="0.4">
      <c r="A31" s="5">
        <v>15</v>
      </c>
      <c r="B31" s="43"/>
      <c r="C31" s="5"/>
      <c r="D31" s="44"/>
      <c r="E31" s="47"/>
      <c r="F31" s="46"/>
    </row>
    <row r="32" spans="1:6" x14ac:dyDescent="0.4">
      <c r="A32" s="5">
        <v>16</v>
      </c>
      <c r="B32" s="43"/>
      <c r="C32" s="5"/>
      <c r="D32" s="44"/>
      <c r="E32" s="47"/>
      <c r="F32" s="46"/>
    </row>
    <row r="33" spans="1:6" x14ac:dyDescent="0.4">
      <c r="A33" s="5">
        <v>17</v>
      </c>
      <c r="B33" s="43"/>
      <c r="C33" s="5"/>
      <c r="D33" s="44"/>
      <c r="E33" s="47"/>
      <c r="F33" s="46"/>
    </row>
    <row r="34" spans="1:6" x14ac:dyDescent="0.4">
      <c r="A34" s="5">
        <v>18</v>
      </c>
      <c r="B34" s="43"/>
      <c r="C34" s="5"/>
      <c r="D34" s="44"/>
      <c r="E34" s="47"/>
      <c r="F34" s="46"/>
    </row>
    <row r="35" spans="1:6" x14ac:dyDescent="0.4">
      <c r="A35" s="5">
        <v>19</v>
      </c>
      <c r="B35" s="43"/>
      <c r="C35" s="5"/>
      <c r="D35" s="44"/>
      <c r="E35" s="47"/>
      <c r="F35" s="46"/>
    </row>
    <row r="36" spans="1:6" x14ac:dyDescent="0.4">
      <c r="A36" s="5">
        <v>20</v>
      </c>
      <c r="B36" s="43"/>
      <c r="C36" s="5"/>
      <c r="D36" s="44"/>
      <c r="E36" s="47"/>
      <c r="F36" s="46"/>
    </row>
    <row r="37" spans="1:6" x14ac:dyDescent="0.4">
      <c r="A37" s="5">
        <v>21</v>
      </c>
      <c r="B37" s="43"/>
      <c r="C37" s="5"/>
      <c r="D37" s="44"/>
      <c r="E37" s="47"/>
      <c r="F37" s="46"/>
    </row>
    <row r="38" spans="1:6" x14ac:dyDescent="0.4">
      <c r="A38" s="5">
        <v>22</v>
      </c>
      <c r="B38" s="43"/>
      <c r="C38" s="5"/>
      <c r="D38" s="44"/>
      <c r="E38" s="47"/>
      <c r="F38" s="46"/>
    </row>
    <row r="39" spans="1:6" x14ac:dyDescent="0.4">
      <c r="A39" s="5">
        <v>23</v>
      </c>
      <c r="B39" s="43"/>
      <c r="C39" s="5"/>
      <c r="D39" s="44"/>
      <c r="E39" s="47"/>
      <c r="F39" s="46"/>
    </row>
    <row r="40" spans="1:6" x14ac:dyDescent="0.4">
      <c r="A40" s="5">
        <v>24</v>
      </c>
      <c r="B40" s="43"/>
      <c r="C40" s="5"/>
      <c r="D40" s="44"/>
      <c r="E40" s="47"/>
      <c r="F40" s="46"/>
    </row>
    <row r="41" spans="1:6" x14ac:dyDescent="0.4">
      <c r="A41" s="5">
        <v>25</v>
      </c>
      <c r="B41" s="43"/>
      <c r="C41" s="5"/>
      <c r="D41" s="44"/>
      <c r="E41" s="47"/>
      <c r="F41" s="46"/>
    </row>
    <row r="42" spans="1:6" x14ac:dyDescent="0.4">
      <c r="A42" s="5">
        <v>26</v>
      </c>
      <c r="B42" s="43"/>
      <c r="C42" s="5"/>
      <c r="D42" s="44"/>
      <c r="E42" s="47"/>
      <c r="F42" s="46"/>
    </row>
    <row r="43" spans="1:6" x14ac:dyDescent="0.4">
      <c r="A43" s="5">
        <v>27</v>
      </c>
      <c r="B43" s="43"/>
      <c r="C43" s="5"/>
      <c r="D43" s="44"/>
      <c r="E43" s="47"/>
      <c r="F43" s="46"/>
    </row>
    <row r="44" spans="1:6" x14ac:dyDescent="0.4">
      <c r="A44" s="5">
        <v>28</v>
      </c>
      <c r="B44" s="43"/>
      <c r="C44" s="5"/>
      <c r="D44" s="44"/>
      <c r="E44" s="47"/>
      <c r="F44" s="46"/>
    </row>
    <row r="45" spans="1:6" x14ac:dyDescent="0.4">
      <c r="A45" s="5">
        <v>29</v>
      </c>
      <c r="B45" s="43"/>
      <c r="C45" s="5"/>
      <c r="D45" s="44"/>
      <c r="E45" s="47"/>
      <c r="F45" s="46"/>
    </row>
    <row r="46" spans="1:6" x14ac:dyDescent="0.4">
      <c r="A46" s="5">
        <v>30</v>
      </c>
      <c r="B46" s="43"/>
      <c r="C46" s="5"/>
      <c r="D46" s="44"/>
      <c r="E46" s="47"/>
      <c r="F46" s="46"/>
    </row>
    <row r="47" spans="1:6" x14ac:dyDescent="0.4">
      <c r="A47" s="5">
        <v>31</v>
      </c>
      <c r="B47" s="43"/>
      <c r="C47" s="5"/>
      <c r="D47" s="44"/>
      <c r="E47" s="47"/>
      <c r="F47" s="46"/>
    </row>
    <row r="48" spans="1:6" x14ac:dyDescent="0.4">
      <c r="A48" s="5">
        <v>32</v>
      </c>
      <c r="B48" s="43"/>
      <c r="C48" s="5"/>
      <c r="D48" s="44"/>
      <c r="E48" s="47"/>
      <c r="F48" s="46"/>
    </row>
    <row r="49" spans="1:6" x14ac:dyDescent="0.4">
      <c r="A49" s="5">
        <v>33</v>
      </c>
      <c r="B49" s="43"/>
      <c r="C49" s="5"/>
      <c r="D49" s="44"/>
      <c r="E49" s="47"/>
      <c r="F49" s="46"/>
    </row>
    <row r="50" spans="1:6" x14ac:dyDescent="0.4">
      <c r="A50" s="5">
        <v>34</v>
      </c>
      <c r="B50" s="43"/>
      <c r="C50" s="5"/>
      <c r="D50" s="44"/>
      <c r="E50" s="47"/>
      <c r="F50" s="46"/>
    </row>
    <row r="51" spans="1:6" x14ac:dyDescent="0.4">
      <c r="A51" s="5">
        <v>35</v>
      </c>
      <c r="B51" s="43"/>
      <c r="C51" s="5"/>
      <c r="D51" s="44"/>
      <c r="E51" s="47"/>
      <c r="F51" s="46"/>
    </row>
    <row r="52" spans="1:6" x14ac:dyDescent="0.4">
      <c r="A52" s="5">
        <v>36</v>
      </c>
      <c r="B52" s="43"/>
      <c r="C52" s="5"/>
      <c r="D52" s="44"/>
      <c r="E52" s="47"/>
      <c r="F52" s="46"/>
    </row>
    <row r="53" spans="1:6" x14ac:dyDescent="0.4">
      <c r="A53" s="5">
        <v>37</v>
      </c>
      <c r="B53" s="43"/>
      <c r="C53" s="5"/>
      <c r="D53" s="44"/>
      <c r="E53" s="47"/>
      <c r="F53" s="46"/>
    </row>
    <row r="54" spans="1:6" x14ac:dyDescent="0.4">
      <c r="A54" s="5">
        <v>38</v>
      </c>
      <c r="B54" s="43"/>
      <c r="C54" s="5"/>
      <c r="D54" s="44"/>
      <c r="E54" s="47"/>
      <c r="F54" s="46"/>
    </row>
    <row r="55" spans="1:6" x14ac:dyDescent="0.4">
      <c r="A55" s="5">
        <v>39</v>
      </c>
      <c r="B55" s="43"/>
      <c r="C55" s="5"/>
      <c r="D55" s="44"/>
      <c r="E55" s="47"/>
      <c r="F55" s="46"/>
    </row>
    <row r="56" spans="1:6" x14ac:dyDescent="0.4">
      <c r="A56" s="5">
        <v>40</v>
      </c>
      <c r="B56" s="43"/>
      <c r="C56" s="5"/>
      <c r="D56" s="44"/>
      <c r="E56" s="47"/>
      <c r="F56" s="46"/>
    </row>
    <row r="57" spans="1:6" x14ac:dyDescent="0.4">
      <c r="A57" s="5">
        <v>41</v>
      </c>
      <c r="B57" s="43"/>
      <c r="C57" s="5"/>
      <c r="D57" s="44"/>
      <c r="E57" s="47"/>
      <c r="F57" s="46"/>
    </row>
    <row r="58" spans="1:6" x14ac:dyDescent="0.4">
      <c r="A58" s="5">
        <v>42</v>
      </c>
      <c r="B58" s="43"/>
      <c r="C58" s="5"/>
      <c r="D58" s="44"/>
      <c r="E58" s="47"/>
      <c r="F58" s="46"/>
    </row>
    <row r="59" spans="1:6" x14ac:dyDescent="0.4">
      <c r="A59" s="5">
        <v>43</v>
      </c>
      <c r="B59" s="43"/>
      <c r="C59" s="5"/>
      <c r="D59" s="44"/>
      <c r="E59" s="47"/>
      <c r="F59" s="46"/>
    </row>
    <row r="60" spans="1:6" x14ac:dyDescent="0.4">
      <c r="A60" s="5">
        <v>44</v>
      </c>
      <c r="B60" s="43"/>
      <c r="C60" s="5"/>
      <c r="D60" s="44"/>
      <c r="E60" s="47"/>
      <c r="F60" s="46"/>
    </row>
    <row r="61" spans="1:6" x14ac:dyDescent="0.4">
      <c r="A61" s="5">
        <v>45</v>
      </c>
      <c r="B61" s="43"/>
      <c r="C61" s="5"/>
      <c r="D61" s="44"/>
      <c r="E61" s="47"/>
      <c r="F61" s="46"/>
    </row>
    <row r="62" spans="1:6" x14ac:dyDescent="0.4">
      <c r="A62" s="5">
        <v>46</v>
      </c>
      <c r="B62" s="43"/>
      <c r="C62" s="5"/>
      <c r="D62" s="44"/>
      <c r="E62" s="47"/>
      <c r="F62" s="46"/>
    </row>
    <row r="63" spans="1:6" x14ac:dyDescent="0.4">
      <c r="A63" s="5">
        <v>47</v>
      </c>
      <c r="B63" s="43"/>
      <c r="C63" s="5"/>
      <c r="D63" s="44"/>
      <c r="E63" s="47"/>
      <c r="F63" s="46"/>
    </row>
    <row r="64" spans="1:6" x14ac:dyDescent="0.4">
      <c r="A64" s="5">
        <v>48</v>
      </c>
      <c r="B64" s="43"/>
      <c r="C64" s="5"/>
      <c r="D64" s="44"/>
      <c r="E64" s="47"/>
      <c r="F64" s="46"/>
    </row>
    <row r="65" spans="1:6" x14ac:dyDescent="0.4">
      <c r="A65" s="5">
        <v>49</v>
      </c>
      <c r="B65" s="43"/>
      <c r="C65" s="5"/>
      <c r="D65" s="44"/>
      <c r="E65" s="47"/>
      <c r="F65" s="46"/>
    </row>
    <row r="66" spans="1:6" x14ac:dyDescent="0.4">
      <c r="A66" s="5">
        <v>50</v>
      </c>
      <c r="B66" s="43"/>
      <c r="C66" s="5"/>
      <c r="D66" s="44"/>
      <c r="E66" s="47"/>
      <c r="F66" s="46"/>
    </row>
    <row r="67" spans="1:6" x14ac:dyDescent="0.4">
      <c r="A67" s="5">
        <v>51</v>
      </c>
      <c r="B67" s="43"/>
      <c r="C67" s="5"/>
      <c r="D67" s="44"/>
      <c r="E67" s="47"/>
      <c r="F67" s="46"/>
    </row>
    <row r="68" spans="1:6" x14ac:dyDescent="0.4">
      <c r="A68" s="5">
        <v>52</v>
      </c>
      <c r="B68" s="43"/>
      <c r="C68" s="5"/>
      <c r="D68" s="44"/>
      <c r="E68" s="47"/>
      <c r="F68" s="46"/>
    </row>
    <row r="69" spans="1:6" x14ac:dyDescent="0.4">
      <c r="A69" s="5">
        <v>53</v>
      </c>
      <c r="B69" s="43"/>
      <c r="C69" s="5"/>
      <c r="D69" s="44"/>
      <c r="E69" s="47"/>
      <c r="F69" s="46"/>
    </row>
    <row r="70" spans="1:6" x14ac:dyDescent="0.4">
      <c r="A70" s="5">
        <v>54</v>
      </c>
      <c r="B70" s="43"/>
      <c r="C70" s="5"/>
      <c r="D70" s="44"/>
      <c r="E70" s="47"/>
      <c r="F70" s="46"/>
    </row>
    <row r="71" spans="1:6" x14ac:dyDescent="0.4">
      <c r="A71" s="5">
        <v>55</v>
      </c>
      <c r="B71" s="43"/>
      <c r="C71" s="5"/>
      <c r="D71" s="44"/>
      <c r="E71" s="47"/>
      <c r="F71" s="46"/>
    </row>
    <row r="72" spans="1:6" x14ac:dyDescent="0.4">
      <c r="A72" s="5">
        <v>56</v>
      </c>
      <c r="B72" s="43"/>
      <c r="C72" s="5"/>
      <c r="D72" s="44"/>
      <c r="E72" s="47"/>
      <c r="F72" s="46"/>
    </row>
    <row r="73" spans="1:6" x14ac:dyDescent="0.4">
      <c r="A73" s="5">
        <v>57</v>
      </c>
      <c r="B73" s="43"/>
      <c r="C73" s="5"/>
      <c r="D73" s="44"/>
      <c r="E73" s="47"/>
      <c r="F73" s="46"/>
    </row>
    <row r="74" spans="1:6" x14ac:dyDescent="0.4">
      <c r="A74" s="5">
        <v>58</v>
      </c>
      <c r="B74" s="43"/>
      <c r="C74" s="5"/>
      <c r="D74" s="44"/>
      <c r="E74" s="47"/>
      <c r="F74" s="46"/>
    </row>
    <row r="75" spans="1:6" x14ac:dyDescent="0.4">
      <c r="A75" s="5">
        <v>59</v>
      </c>
      <c r="B75" s="43"/>
      <c r="C75" s="5"/>
      <c r="D75" s="44"/>
      <c r="E75" s="47"/>
      <c r="F75" s="46"/>
    </row>
    <row r="76" spans="1:6" x14ac:dyDescent="0.4">
      <c r="A76" s="5">
        <v>60</v>
      </c>
      <c r="B76" s="43"/>
      <c r="C76" s="5"/>
      <c r="D76" s="44"/>
      <c r="E76" s="47"/>
      <c r="F76" s="46"/>
    </row>
    <row r="77" spans="1:6" x14ac:dyDescent="0.4">
      <c r="A77" s="5">
        <v>61</v>
      </c>
      <c r="B77" s="43"/>
      <c r="C77" s="5"/>
      <c r="D77" s="44"/>
      <c r="E77" s="47"/>
      <c r="F77" s="46"/>
    </row>
    <row r="78" spans="1:6" x14ac:dyDescent="0.4">
      <c r="A78" s="5">
        <v>62</v>
      </c>
      <c r="B78" s="43"/>
      <c r="C78" s="5"/>
      <c r="D78" s="44"/>
      <c r="E78" s="47"/>
      <c r="F78" s="46"/>
    </row>
    <row r="79" spans="1:6" x14ac:dyDescent="0.4">
      <c r="A79" s="5">
        <v>63</v>
      </c>
      <c r="B79" s="43"/>
      <c r="C79" s="5"/>
      <c r="D79" s="44"/>
      <c r="E79" s="47"/>
      <c r="F79" s="46"/>
    </row>
    <row r="80" spans="1:6" x14ac:dyDescent="0.4">
      <c r="A80" s="5">
        <v>64</v>
      </c>
      <c r="B80" s="43"/>
      <c r="C80" s="5"/>
      <c r="D80" s="44"/>
      <c r="E80" s="47"/>
      <c r="F80" s="46"/>
    </row>
    <row r="81" spans="1:6" x14ac:dyDescent="0.4">
      <c r="A81" s="5">
        <v>65</v>
      </c>
      <c r="B81" s="43"/>
      <c r="C81" s="5"/>
      <c r="D81" s="44"/>
      <c r="E81" s="47"/>
      <c r="F81" s="46"/>
    </row>
    <row r="82" spans="1:6" x14ac:dyDescent="0.4">
      <c r="A82" s="5">
        <v>66</v>
      </c>
      <c r="B82" s="43"/>
      <c r="C82" s="5"/>
      <c r="D82" s="44"/>
      <c r="E82" s="47"/>
      <c r="F82" s="46"/>
    </row>
    <row r="83" spans="1:6" x14ac:dyDescent="0.4">
      <c r="A83" s="5">
        <v>67</v>
      </c>
      <c r="B83" s="43"/>
      <c r="C83" s="5"/>
      <c r="D83" s="44"/>
      <c r="E83" s="47"/>
      <c r="F83" s="46"/>
    </row>
    <row r="84" spans="1:6" x14ac:dyDescent="0.4">
      <c r="A84" s="5">
        <v>68</v>
      </c>
      <c r="B84" s="43"/>
      <c r="C84" s="5"/>
      <c r="D84" s="44"/>
      <c r="E84" s="47"/>
      <c r="F84" s="46"/>
    </row>
    <row r="85" spans="1:6" x14ac:dyDescent="0.4">
      <c r="A85" s="5">
        <v>69</v>
      </c>
      <c r="B85" s="43"/>
      <c r="C85" s="5"/>
      <c r="D85" s="44"/>
      <c r="E85" s="47"/>
      <c r="F85" s="46"/>
    </row>
    <row r="86" spans="1:6" x14ac:dyDescent="0.4">
      <c r="A86" s="5">
        <v>70</v>
      </c>
      <c r="B86" s="43"/>
      <c r="C86" s="5"/>
      <c r="D86" s="44"/>
      <c r="E86" s="47"/>
      <c r="F86" s="46"/>
    </row>
    <row r="87" spans="1:6" x14ac:dyDescent="0.4">
      <c r="A87" s="5">
        <v>71</v>
      </c>
      <c r="B87" s="43"/>
      <c r="C87" s="5"/>
      <c r="D87" s="44"/>
      <c r="E87" s="47"/>
      <c r="F87" s="46"/>
    </row>
    <row r="88" spans="1:6" x14ac:dyDescent="0.4">
      <c r="A88" s="5">
        <v>72</v>
      </c>
      <c r="B88" s="43"/>
      <c r="C88" s="5"/>
      <c r="D88" s="44"/>
      <c r="E88" s="47"/>
      <c r="F88" s="46"/>
    </row>
    <row r="89" spans="1:6" x14ac:dyDescent="0.4">
      <c r="A89" s="5">
        <v>73</v>
      </c>
      <c r="B89" s="43"/>
      <c r="C89" s="5"/>
      <c r="D89" s="44"/>
      <c r="E89" s="47"/>
      <c r="F89" s="46"/>
    </row>
    <row r="90" spans="1:6" x14ac:dyDescent="0.4">
      <c r="A90" s="5">
        <v>74</v>
      </c>
      <c r="B90" s="43"/>
      <c r="C90" s="5"/>
      <c r="D90" s="44"/>
      <c r="E90" s="47"/>
      <c r="F90" s="46"/>
    </row>
    <row r="91" spans="1:6" x14ac:dyDescent="0.4">
      <c r="A91" s="5">
        <v>75</v>
      </c>
      <c r="B91" s="43"/>
      <c r="C91" s="5"/>
      <c r="D91" s="44"/>
      <c r="E91" s="47"/>
      <c r="F91" s="46"/>
    </row>
    <row r="92" spans="1:6" x14ac:dyDescent="0.4">
      <c r="A92" s="5">
        <v>76</v>
      </c>
      <c r="B92" s="43"/>
      <c r="C92" s="5"/>
      <c r="D92" s="44"/>
      <c r="E92" s="47"/>
      <c r="F92" s="46"/>
    </row>
    <row r="93" spans="1:6" x14ac:dyDescent="0.4">
      <c r="A93" s="5">
        <v>77</v>
      </c>
      <c r="B93" s="43"/>
      <c r="C93" s="5"/>
      <c r="D93" s="44"/>
      <c r="E93" s="47"/>
      <c r="F93" s="46"/>
    </row>
    <row r="94" spans="1:6" x14ac:dyDescent="0.4">
      <c r="A94" s="5">
        <v>78</v>
      </c>
      <c r="B94" s="43"/>
      <c r="C94" s="5"/>
      <c r="D94" s="44"/>
      <c r="E94" s="47"/>
      <c r="F94" s="46"/>
    </row>
    <row r="95" spans="1:6" x14ac:dyDescent="0.4">
      <c r="A95" s="5">
        <v>79</v>
      </c>
      <c r="B95" s="43"/>
      <c r="C95" s="5"/>
      <c r="D95" s="44"/>
      <c r="E95" s="47"/>
      <c r="F95" s="46"/>
    </row>
    <row r="96" spans="1:6" x14ac:dyDescent="0.4">
      <c r="A96" s="5">
        <v>80</v>
      </c>
      <c r="B96" s="43"/>
      <c r="C96" s="5"/>
      <c r="D96" s="44"/>
      <c r="E96" s="47"/>
      <c r="F96" s="46"/>
    </row>
    <row r="97" spans="1:6" x14ac:dyDescent="0.4">
      <c r="A97" s="5">
        <v>81</v>
      </c>
      <c r="B97" s="43"/>
      <c r="C97" s="5"/>
      <c r="D97" s="44"/>
      <c r="E97" s="47"/>
      <c r="F97" s="46"/>
    </row>
    <row r="98" spans="1:6" x14ac:dyDescent="0.4">
      <c r="A98" s="5">
        <v>82</v>
      </c>
      <c r="B98" s="43"/>
      <c r="C98" s="5"/>
      <c r="D98" s="44"/>
      <c r="E98" s="47"/>
      <c r="F98" s="46"/>
    </row>
    <row r="99" spans="1:6" x14ac:dyDescent="0.4">
      <c r="A99" s="5">
        <v>83</v>
      </c>
      <c r="B99" s="43"/>
      <c r="C99" s="5"/>
      <c r="D99" s="44"/>
      <c r="E99" s="47"/>
      <c r="F99" s="46"/>
    </row>
    <row r="100" spans="1:6" x14ac:dyDescent="0.4">
      <c r="A100" s="5">
        <v>84</v>
      </c>
      <c r="B100" s="43"/>
      <c r="C100" s="5"/>
      <c r="D100" s="44"/>
      <c r="E100" s="47"/>
      <c r="F100" s="46"/>
    </row>
  </sheetData>
  <dataValidations count="5">
    <dataValidation operator="equal" allowBlank="1" showInputMessage="1" showErrorMessage="1" promptTitle="Task ID" prompt="This is just an arbitrary unique (per sprint) integer assigned to a task, used by the team to refer to that task. " sqref="A17:A100" xr:uid="{00000000-0002-0000-0400-000000000000}">
      <formula1>0</formula1>
      <formula2>0</formula2>
    </dataValidation>
    <dataValidation type="list" operator="equal" allowBlank="1" showInputMessage="1" showErrorMessage="1" promptTitle="Select Feature ID from Product Backlog" sqref="C17:C100" xr:uid="{00000000-0002-0000-0400-000002000000}">
      <formula1>#REF!</formula1>
      <formula2>0</formula2>
    </dataValidation>
    <dataValidation operator="equal" allowBlank="1" showInputMessage="1" showErrorMessage="1" promptTitle="Task Description" sqref="D18:D100" xr:uid="{00000000-0002-0000-0400-000003000000}">
      <formula1>0</formula1>
      <formula2>0</formula2>
    </dataValidation>
    <dataValidation type="list" operator="equal" allowBlank="1" showInputMessage="1" showErrorMessage="1" errorTitle="Wrong Value" error="This cell may only contain a valid status value (hint: use the drop-down selection list) or be left blank (hint: use the Delete key)" promptTitle="Implementation Status" prompt="Leave blank until task is begun._x000a_Select &quot;In Work&quot; when started (for long tasks only)._x000a_Select Completed ONLY when this task is done._x000a_    Select &quot;Completed Day 1&quot; if finished on the first day, and_x000a_    similarly for &quot;Completed on Day 2&quot; et. al." sqref="E17:E100" xr:uid="{00000000-0002-0000-0400-000004000000}">
      <formula1>"In Work,Completed Day 1,Completed Day 2,Completed Day 3,Completed Day 4,Completed Day 5,Completed Day 6,Completed Day 7"</formula1>
      <formula2>0</formula2>
    </dataValidation>
    <dataValidation operator="equal" allowBlank="1" showInputMessage="1" showErrorMessage="1" promptTitle="OPTIONAL" prompt="You may add any notes here that help understand the requirements and scope for this task" sqref="F17:F100" xr:uid="{00000000-0002-0000-0400-000005000000}">
      <formula1>0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&amp;C&amp;A</oddHeader>
    <oddFooter>&amp;CPage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InputMessage="1" showErrorMessage="1" promptTitle="Select Feature ID from Product Backlog" xr:uid="{00000000-0002-0000-0400-000001000000}">
          <x14:formula1>
            <xm:f>'Product Backlog'!$A$24:$A$95</xm:f>
          </x14:formula1>
          <x14:formula2>
            <xm:f>0</xm:f>
          </x14:formula2>
          <xm:sqref>B17:B100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3560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Sprint 01 Backlog</vt:lpstr>
      <vt:lpstr>Sprint 02 Backlog</vt:lpstr>
      <vt:lpstr>Sprint 03 Backlog</vt:lpstr>
      <vt:lpstr>Sprint 04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 Bhandari</dc:creator>
  <dc:description/>
  <cp:lastModifiedBy>Santosh Bhandari</cp:lastModifiedBy>
  <cp:revision>180</cp:revision>
  <dcterms:created xsi:type="dcterms:W3CDTF">2016-03-21T22:16:37Z</dcterms:created>
  <dcterms:modified xsi:type="dcterms:W3CDTF">2020-04-05T17:37:01Z</dcterms:modified>
  <dc:language>en-US</dc:language>
</cp:coreProperties>
</file>
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san_t\OneDrive\Desktop\"/>
    </mc:Choice>
  </mc:AlternateContent>
  <xr:revisionPtr revIDLastSave="0" documentId="13_ncr:1_{C3601012-4321-45D3-987E-1F769B15F27D}" xr6:coauthVersionLast="45" xr6:coauthVersionMax="45" xr10:uidLastSave="{00000000-0000-0000-0000-000000000000}"/>
  <bookViews>
    <workbookView xWindow="-96" yWindow="-96" windowWidth="23232" windowHeight="12552" activeTab="2" xr2:uid="{00000000-000D-0000-FFFF-FFFF00000000}"/>
  </bookViews>
  <sheets>
    <sheet name="Product Backlog" sheetId="1" r:id="rId1"/>
    <sheet name="Sprint 01 Backlog" sheetId="2" r:id="rId2"/>
    <sheet name="Sprint 02 Backlog" sheetId="3" r:id="rId3"/>
    <sheet name="Sprint 03 Backlog" sheetId="4" r:id="rId4"/>
    <sheet name="Sprint 04 Back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4" i="5" l="1"/>
  <c r="C13" i="5"/>
  <c r="C12" i="5"/>
  <c r="C11" i="5"/>
  <c r="C10" i="5"/>
  <c r="C9" i="5"/>
  <c r="C8" i="5"/>
  <c r="B7" i="5"/>
  <c r="B8" i="5" s="1"/>
  <c r="B9" i="5" s="1"/>
  <c r="B10" i="5" s="1"/>
  <c r="B11" i="5" s="1"/>
  <c r="B12" i="5" s="1"/>
  <c r="B13" i="5" s="1"/>
  <c r="B14" i="5" s="1"/>
  <c r="C14" i="4"/>
  <c r="C13" i="4"/>
  <c r="C12" i="4"/>
  <c r="C11" i="4"/>
  <c r="C10" i="4"/>
  <c r="C9" i="4"/>
  <c r="C8" i="4"/>
  <c r="B7" i="4"/>
  <c r="B8" i="4" s="1"/>
  <c r="B9" i="4" s="1"/>
  <c r="B10" i="4" s="1"/>
  <c r="B11" i="4" s="1"/>
  <c r="B12" i="4" s="1"/>
  <c r="B13" i="4" s="1"/>
  <c r="B14" i="4" s="1"/>
  <c r="B1" i="4"/>
  <c r="B1" i="5" s="1"/>
  <c r="C13" i="3"/>
  <c r="C10" i="3"/>
  <c r="C9" i="3"/>
  <c r="C8" i="3"/>
  <c r="B7" i="3"/>
  <c r="B8" i="3" s="1"/>
  <c r="B9" i="3" s="1"/>
  <c r="B10" i="3" s="1"/>
  <c r="B11" i="3" s="1"/>
  <c r="B12" i="3" s="1"/>
  <c r="B13" i="3" s="1"/>
  <c r="B14" i="3" s="1"/>
  <c r="B2" i="3"/>
  <c r="B3" i="3" s="1"/>
  <c r="B1" i="3"/>
  <c r="C14" i="2"/>
  <c r="C13" i="2"/>
  <c r="C12" i="2"/>
  <c r="C11" i="2"/>
  <c r="C10" i="2"/>
  <c r="C9" i="2"/>
  <c r="C8" i="2"/>
  <c r="B7" i="2"/>
  <c r="B8" i="2" s="1"/>
  <c r="B9" i="2" s="1"/>
  <c r="B10" i="2" s="1"/>
  <c r="B11" i="2" s="1"/>
  <c r="B12" i="2" s="1"/>
  <c r="B13" i="2" s="1"/>
  <c r="B14" i="2" s="1"/>
  <c r="B3" i="2"/>
  <c r="C17" i="1"/>
  <c r="C16" i="1"/>
  <c r="C15" i="1"/>
  <c r="C14" i="1"/>
  <c r="C13" i="1"/>
  <c r="B12" i="1"/>
  <c r="B13" i="1" s="1"/>
  <c r="B14" i="1" s="1"/>
  <c r="B15" i="1" s="1"/>
  <c r="B16" i="1" s="1"/>
  <c r="B17" i="1" s="1"/>
  <c r="B2" i="4" l="1"/>
  <c r="B2" i="5" l="1"/>
  <c r="B3" i="5" s="1"/>
  <c r="B3" i="4"/>
</calcChain>
</file>

<file path=xl/sharedStrings.xml><?xml version="1.0" encoding="utf-8"?>
<sst xmlns="http://schemas.openxmlformats.org/spreadsheetml/2006/main" count="277" uniqueCount="152">
  <si>
    <t>Sprint #</t>
  </si>
  <si>
    <t>Product Name:</t>
  </si>
  <si>
    <t>Complete Fields in Green!!!</t>
  </si>
  <si>
    <t>Exceptional Laptops and Supercomputers Always (ELSA)</t>
  </si>
  <si>
    <t>Start on</t>
  </si>
  <si>
    <t>*** Create a new Sprint Backlog for EVERY SPRINT ***</t>
  </si>
  <si>
    <t>Team ID:</t>
  </si>
  <si>
    <t>End on</t>
  </si>
  <si>
    <t>Demo on</t>
  </si>
  <si>
    <t>TBD</t>
  </si>
  <si>
    <t>Team Member Name</t>
  </si>
  <si>
    <t>Initials</t>
  </si>
  <si>
    <t>Student ID</t>
  </si>
  <si>
    <t>Required</t>
  </si>
  <si>
    <t>Remaining</t>
  </si>
  <si>
    <t>Completed (this day)</t>
  </si>
  <si>
    <t>Total Tasks</t>
  </si>
  <si>
    <t>Day 1 Left</t>
  </si>
  <si>
    <t>Day 2 Left</t>
  </si>
  <si>
    <t>Day 3 Left</t>
  </si>
  <si>
    <t>Day 4 Left</t>
  </si>
  <si>
    <t>Completed This Sprint</t>
  </si>
  <si>
    <t>Comment</t>
  </si>
  <si>
    <t>Day 5 Left</t>
  </si>
  <si>
    <t>Total</t>
  </si>
  <si>
    <t>Day 6 Left</t>
  </si>
  <si>
    <t>Total number of features (in column H)</t>
  </si>
  <si>
    <t>Total features left at the end of Sprint #1</t>
  </si>
  <si>
    <t>Day 7 Left</t>
  </si>
  <si>
    <t>Total features left at the end of Sprint #2</t>
  </si>
  <si>
    <t>Task ID</t>
  </si>
  <si>
    <t>Feature ID</t>
  </si>
  <si>
    <t>Assigned To</t>
  </si>
  <si>
    <t>Description</t>
  </si>
  <si>
    <t>Status</t>
  </si>
  <si>
    <t>Notes</t>
  </si>
  <si>
    <t>CUST</t>
  </si>
  <si>
    <t>...and so on</t>
  </si>
  <si>
    <t>Write the Customer class</t>
  </si>
  <si>
    <t>--&gt; Add tasks to complete each feature for this sprint</t>
  </si>
  <si>
    <t>Test each class and method as it is written</t>
  </si>
  <si>
    <t>Write operator&lt;&lt; for Customer</t>
  </si>
  <si>
    <t>Commit and push AT LEAST once every class or update</t>
  </si>
  <si>
    <t>Write Store::add_customer, num_customers, and customer</t>
  </si>
  <si>
    <t>You are free to determine your own algorithm for mapping the (now) 21 days of this sprint to the 7 reporting days – e.g., 1/3 days, the first 7 days you actually do work, etc.</t>
  </si>
  <si>
    <t>OPT</t>
  </si>
  <si>
    <t>Write the Options class sans to_string</t>
  </si>
  <si>
    <t>Note: Priority and specs for unfinished Features is subject to change at the end of each sprint at the whim of the Product Owner</t>
  </si>
  <si>
    <t>Write Options::to_string and its operator&lt;&lt;</t>
  </si>
  <si>
    <t>Write Store::add_option (to Store), num_options, and option</t>
  </si>
  <si>
    <t>DESKT</t>
  </si>
  <si>
    <t>Write the Desktop class with add_option method</t>
  </si>
  <si>
    <t>Additional features may be proposed by the student but must be approved by the Product Owner in writing</t>
  </si>
  <si>
    <t>Write the Desktop::price method</t>
  </si>
  <si>
    <t xml:space="preserve">Sprints                </t>
  </si>
  <si>
    <t>Write operator&lt;&lt; for Desktop</t>
  </si>
  <si>
    <t>Priority</t>
  </si>
  <si>
    <t>Bonus</t>
  </si>
  <si>
    <t>Est</t>
  </si>
  <si>
    <t>Planned</t>
  </si>
  <si>
    <t>As a...</t>
  </si>
  <si>
    <t>I want to...</t>
  </si>
  <si>
    <t>So that I can…</t>
  </si>
  <si>
    <t>Write Store::new_desktop, add_option (to desktop), num_desktops, and desktop</t>
  </si>
  <si>
    <t>ORDER</t>
  </si>
  <si>
    <t>Write the Order associative class and constructor</t>
  </si>
  <si>
    <t>Write Order::add_product</t>
  </si>
  <si>
    <t>Write Order::price</t>
  </si>
  <si>
    <t>Sales Staff</t>
  </si>
  <si>
    <t>Write Store::new_order, add_desktop, num_orders, and order</t>
  </si>
  <si>
    <t>Remember each customer’s name and contact info</t>
  </si>
  <si>
    <t>Ship them products repeatedly</t>
  </si>
  <si>
    <t>Integrate and test with cse1325_prof/elsa/sprint_1/main.cpp</t>
  </si>
  <si>
    <t>Ensure ALL CODE is on GitHub by deadline!</t>
  </si>
  <si>
    <t>Inventory</t>
  </si>
  <si>
    <t>Maintain a list of options for a desktop (e.g., disk, RAM, CPU)</t>
  </si>
  <si>
    <t>Select them when designing a new desktop product</t>
  </si>
  <si>
    <t>Define a new desktop configuration from options</t>
  </si>
  <si>
    <t>Can quickly customize products for my customers</t>
  </si>
  <si>
    <t>Associate a customer with one or more desktops into an order</t>
  </si>
  <si>
    <t>Keep track of who has bought what</t>
  </si>
  <si>
    <t>WIN</t>
  </si>
  <si>
    <t>Replace text interface with GUI main window</t>
  </si>
  <si>
    <t>Use it more easily</t>
  </si>
  <si>
    <t>Recommend baselining Nim from Lecture 13</t>
  </si>
  <si>
    <t>OUTM</t>
  </si>
  <si>
    <t>Replace list of data records with main window list</t>
  </si>
  <si>
    <t>Access the data directly in the window</t>
  </si>
  <si>
    <t>Try using std::ostringstream to capture operator&lt;&lt; formatting</t>
  </si>
  <si>
    <t>INDIA</t>
  </si>
  <si>
    <t>Replace data queries with series of dialogs</t>
  </si>
  <si>
    <t>Do everything within the GUI</t>
  </si>
  <si>
    <t>Recommend baselining EntryDialog from Lecture 14</t>
  </si>
  <si>
    <t>ABOUT</t>
  </si>
  <si>
    <t>Director</t>
  </si>
  <si>
    <t>Provide About dialog for documenting licenses</t>
  </si>
  <si>
    <t>Avoid a lawsuit</t>
  </si>
  <si>
    <t>SAVE</t>
  </si>
  <si>
    <t>Manager</t>
  </si>
  <si>
    <t>Save the data to a default file (File &gt; Save)</t>
  </si>
  <si>
    <t>Persist our data through the years</t>
  </si>
  <si>
    <t>This requires modifying the “model” to save and reload each object from a provided stream</t>
  </si>
  <si>
    <t>SAVAS</t>
  </si>
  <si>
    <t>Save the data to a specified file (File &gt; Save As)</t>
  </si>
  <si>
    <t>Use Gtk::FileChooser</t>
  </si>
  <si>
    <t>LOAD</t>
  </si>
  <si>
    <t>Load the data from a specified file (File &gt; Open)</t>
  </si>
  <si>
    <t>QRAM</t>
  </si>
  <si>
    <t>Customer</t>
  </si>
  <si>
    <t>Store and display additional RAM data</t>
  </si>
  <si>
    <t>Ensure I purchase the correct product</t>
  </si>
  <si>
    <t>DCUST</t>
  </si>
  <si>
    <t>Replace Insert Customer dialogs with single dialog</t>
  </si>
  <si>
    <t>Enter data more quickly</t>
  </si>
  <si>
    <t>BONUS WORK – COMPLETE ABOVE FEATURES FIRST!!!</t>
  </si>
  <si>
    <t>QCPU</t>
  </si>
  <si>
    <t>Store and display additional CPU data</t>
  </si>
  <si>
    <t>Derive classes from Options and call operator&lt;&lt; polymorphically</t>
  </si>
  <si>
    <t>QDISK</t>
  </si>
  <si>
    <t>Store and display additional Disk data</t>
  </si>
  <si>
    <t>DORD</t>
  </si>
  <si>
    <t>Replace Insert Order dialogs with single dialog</t>
  </si>
  <si>
    <t>DOPT</t>
  </si>
  <si>
    <t>Replace Insert Option dialogs with single dialog</t>
  </si>
  <si>
    <t>DDESK</t>
  </si>
  <si>
    <t>Replace Insert Desktop dialogs with single dialog</t>
  </si>
  <si>
    <t>TBAR</t>
  </si>
  <si>
    <t>Access key functionality with a toolbar AND menu</t>
  </si>
  <si>
    <t>More quickly access the behaviors I need</t>
  </si>
  <si>
    <t>You can baseline this code from Nim’s Mainwin::Mainwin as well</t>
  </si>
  <si>
    <t>SCROL</t>
  </si>
  <si>
    <t>Make the main window’s data area scrollable</t>
  </si>
  <si>
    <t>See large volumes of data</t>
  </si>
  <si>
    <t>The exact settings (e.g., are the scrollbars always visible or only when scrolling is available?) are up to you</t>
  </si>
  <si>
    <t>DEPR</t>
  </si>
  <si>
    <t>Deprecate a product</t>
  </si>
  <si>
    <t>Avoid selling products that are out of production</t>
  </si>
  <si>
    <t>This requires a Boolean with getter and setter in the Options and Desktop classes to indicate which are deprecated. The index number may pose interesting challenges, since deprecation will create gaps.</t>
  </si>
  <si>
    <t>SBAR</t>
  </si>
  <si>
    <t>Replace the Gtk::Label for the status bar with Gtk::Statusbar, and maintain a message stack</t>
  </si>
  <si>
    <t>Better track status of messages</t>
  </si>
  <si>
    <t>Just swapping Gtk::Statusbar for Gtk::Label is trivial. Think through how to manage a first-in last-out stack of messages</t>
  </si>
  <si>
    <t>make mainwin class</t>
  </si>
  <si>
    <t>completed in day 4</t>
  </si>
  <si>
    <t xml:space="preserve">Write header file </t>
  </si>
  <si>
    <t>Complete  in day 4</t>
  </si>
  <si>
    <t xml:space="preserve">Write::MenuItems </t>
  </si>
  <si>
    <t>Wrire::On_view and on_insert methods</t>
  </si>
  <si>
    <t>Replace list od datat records with main window list</t>
  </si>
  <si>
    <t>Provide about dialog for documentation</t>
  </si>
  <si>
    <t>Completed in day 5</t>
  </si>
  <si>
    <t>Completed in day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</si>
</sst>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d"/>
    <numFmt numFmtId="165" formatCode="mm/dd/yy\ hh:mm\ AM/PM"/>
  </numFmts>
  <fonts count="12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sz val="10"/>
      <color theme="1"/>
      <name val="Calibri"/>
      <family val="2"/>
    </font>
    <font>
      <b/>
      <sz val="10"/>
      <color rgb="FFFF420E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8FB98"/>
        <bgColor rgb="FF98FB98"/>
      </patternFill>
    </fill>
    <fill>
      <patternFill patternType="solid">
        <fgColor rgb="FF000000"/>
        <bgColor rgb="FF000000"/>
      </patternFill>
    </fill>
    <fill>
      <patternFill patternType="solid">
        <fgColor rgb="FFC0C0C0"/>
        <bgColor rgb="FFC0C0C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0" fillId="0" borderId="0" xfId="0" applyFont="1" applyAlignment="1"/>
    <xf numFmtId="0" fontId="3" fillId="0" borderId="0" xfId="0" applyFont="1" applyAlignment="1">
      <alignment horizontal="center" vertical="top"/>
    </xf>
    <xf numFmtId="0" fontId="0" fillId="0" borderId="0" xfId="0" applyFont="1" applyAlignment="1">
      <alignment vertical="top"/>
    </xf>
    <xf numFmtId="164" fontId="1" fillId="0" borderId="0" xfId="0" applyNumberFormat="1" applyFont="1" applyAlignmen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 applyAlignment="1"/>
    <xf numFmtId="0" fontId="1" fillId="2" borderId="7" xfId="0" applyFont="1" applyFill="1" applyBorder="1" applyAlignment="1">
      <alignment vertical="top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" fillId="0" borderId="8" xfId="0" applyFont="1" applyBorder="1" applyAlignment="1">
      <alignment vertical="top"/>
    </xf>
    <xf numFmtId="0" fontId="2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3" borderId="9" xfId="0" applyFont="1" applyFill="1" applyBorder="1" applyAlignment="1"/>
    <xf numFmtId="0" fontId="7" fillId="3" borderId="9" xfId="0" applyFont="1" applyFill="1" applyBorder="1" applyAlignment="1">
      <alignment wrapText="1"/>
    </xf>
    <xf numFmtId="0" fontId="2" fillId="2" borderId="9" xfId="0" applyFont="1" applyFill="1" applyBorder="1" applyAlignment="1">
      <alignment vertical="top"/>
    </xf>
    <xf numFmtId="0" fontId="2" fillId="2" borderId="9" xfId="0" applyFont="1" applyFill="1" applyBorder="1" applyAlignment="1">
      <alignment vertical="top" wrapText="1"/>
    </xf>
    <xf numFmtId="0" fontId="8" fillId="2" borderId="9" xfId="0" applyFont="1" applyFill="1" applyBorder="1" applyAlignment="1">
      <alignment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3" borderId="9" xfId="0" applyFont="1" applyFill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0" xfId="0" applyFont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6" fillId="0" borderId="10" xfId="0" applyFont="1" applyBorder="1" applyAlignment="1">
      <alignment vertical="top"/>
    </xf>
    <xf numFmtId="0" fontId="2" fillId="0" borderId="10" xfId="0" applyFont="1" applyBorder="1" applyAlignment="1">
      <alignment vertical="top" wrapText="1"/>
    </xf>
    <xf numFmtId="0" fontId="2" fillId="4" borderId="10" xfId="0" applyFont="1" applyFill="1" applyBorder="1" applyAlignment="1">
      <alignment vertical="top"/>
    </xf>
    <xf numFmtId="0" fontId="2" fillId="4" borderId="10" xfId="0" applyFont="1" applyFill="1" applyBorder="1" applyAlignment="1">
      <alignment horizontal="center" vertical="top"/>
    </xf>
    <xf numFmtId="0" fontId="9" fillId="0" borderId="0" xfId="0" applyFont="1"/>
    <xf numFmtId="0" fontId="10" fillId="0" borderId="0" xfId="0" applyFont="1" applyAlignment="1">
      <alignment vertical="top"/>
    </xf>
    <xf numFmtId="0" fontId="11" fillId="0" borderId="10" xfId="0" applyFont="1" applyBorder="1" applyAlignment="1">
      <alignment vertical="top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0" fillId="0" borderId="0" xfId="0" applyFont="1" applyAlignment="1"/>
    <xf numFmtId="0" fontId="4" fillId="2" borderId="1" xfId="0" applyFont="1" applyFill="1" applyBorder="1" applyAlignment="1">
      <alignment vertical="top"/>
    </xf>
    <xf numFmtId="0" fontId="5" fillId="0" borderId="2" xfId="0" applyFont="1" applyBorder="1"/>
    <xf numFmtId="0" fontId="5" fillId="0" borderId="3" xfId="0" applyFont="1" applyBorder="1"/>
    <xf numFmtId="0" fontId="1" fillId="2" borderId="4" xfId="0" applyFont="1" applyFill="1" applyBorder="1" applyAlignment="1">
      <alignment vertical="top"/>
    </xf>
    <xf numFmtId="0" fontId="5" fillId="0" borderId="5" xfId="0" applyFont="1" applyBorder="1"/>
    <xf numFmtId="0" fontId="5" fillId="0" borderId="6" xfId="0" applyFont="1" applyBorder="1"/>
    <xf numFmtId="0" fontId="6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US"/>
              <a:t>Product Backlog Burn Chart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8.2224304904717299E-2"/>
          <c:y val="0.16193467336683401"/>
          <c:w val="0.88434864104967204"/>
          <c:h val="0.63567839195979903"/>
        </c:manualLayout>
      </c:layout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004586"/>
              </a:solidFill>
              <a:ln cmpd="sng">
                <a:solidFill>
                  <a:srgbClr val="004586"/>
                </a:solidFill>
              </a:ln>
            </c:spPr>
          </c:marker>
          <c:xVal>
            <c:numRef>
              <c:f>'Product Backlog'!$A$12:$A$17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'Product Backlog'!$B$12:$B$17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35-459E-9AB3-A7613A412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3539"/>
        <c:axId val="374360190"/>
      </c:scatterChart>
      <c:valAx>
        <c:axId val="236453539"/>
        <c:scaling>
          <c:orientation val="minMax"/>
          <c:max val="6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/>
                  <a:t>Sprints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74360190"/>
        <c:crosses val="autoZero"/>
        <c:crossBetween val="midCat"/>
      </c:valAx>
      <c:valAx>
        <c:axId val="37436019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/>
                  <a:t>Features Remaining at end of Sprint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36453539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US"/>
              <a:t>Sprint Burn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004586"/>
              </a:solidFill>
            </a:ln>
          </c:spPr>
          <c:marker>
            <c:symbol val="none"/>
          </c:marker>
          <c:val>
            <c:numRef>
              <c:f>'Sprint 01 Backlog'!$B$7:$B$14</c:f>
              <c:numCache>
                <c:formatCode>General</c:formatCode>
                <c:ptCount val="8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8-4779-AA3E-C091C1B8B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531365"/>
        <c:axId val="1382903854"/>
      </c:lineChart>
      <c:catAx>
        <c:axId val="1102531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/>
                  <a:t>Days</a:t>
                </a:r>
              </a:p>
            </c:rich>
          </c:tx>
          <c:overlay val="0"/>
        </c:title>
        <c:majorTickMark val="cross"/>
        <c:minorTickMark val="cross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382903854"/>
        <c:crosses val="autoZero"/>
        <c:auto val="1"/>
        <c:lblAlgn val="ctr"/>
        <c:lblOffset val="100"/>
        <c:noMultiLvlLbl val="1"/>
      </c:catAx>
      <c:valAx>
        <c:axId val="13829038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/>
                  <a:t>Tasks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102531365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US"/>
              <a:t>Sprint Burn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004586"/>
              </a:solidFill>
            </a:ln>
          </c:spPr>
          <c:marker>
            <c:symbol val="none"/>
          </c:marker>
          <c:val>
            <c:numRef>
              <c:f>'Sprint 02 Backlog'!$B$7:$B$14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F-470E-9AB8-9CA594F3F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018754"/>
        <c:axId val="882715260"/>
      </c:lineChart>
      <c:catAx>
        <c:axId val="1350018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/>
                  <a:t>Days</a:t>
                </a:r>
              </a:p>
            </c:rich>
          </c:tx>
          <c:overlay val="0"/>
        </c:title>
        <c:majorTickMark val="cross"/>
        <c:minorTickMark val="cross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882715260"/>
        <c:crosses val="autoZero"/>
        <c:auto val="1"/>
        <c:lblAlgn val="ctr"/>
        <c:lblOffset val="100"/>
        <c:noMultiLvlLbl val="1"/>
      </c:catAx>
      <c:valAx>
        <c:axId val="882715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/>
                  <a:t>Tasks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350018754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t>Sprint Burn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004586"/>
              </a:solidFill>
            </a:ln>
          </c:spPr>
          <c:marker>
            <c:symbol val="none"/>
          </c:marker>
          <c:val>
            <c:numRef>
              <c:f>'Sprint 03 Backlog'!$B$7:$B$14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C-4345-9D14-CC6BF8A00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6443827"/>
        <c:axId val="203615447"/>
      </c:lineChart>
      <c:catAx>
        <c:axId val="16464438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t>Days</a:t>
                </a:r>
              </a:p>
            </c:rich>
          </c:tx>
          <c:overlay val="0"/>
        </c:title>
        <c:majorTickMark val="cross"/>
        <c:minorTickMark val="cross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03615447"/>
        <c:crosses val="autoZero"/>
        <c:auto val="1"/>
        <c:lblAlgn val="ctr"/>
        <c:lblOffset val="100"/>
        <c:noMultiLvlLbl val="1"/>
      </c:catAx>
      <c:valAx>
        <c:axId val="203615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t>Tasks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646443827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t>Sprint Burn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004586"/>
              </a:solidFill>
            </a:ln>
          </c:spPr>
          <c:marker>
            <c:symbol val="none"/>
          </c:marker>
          <c:val>
            <c:numRef>
              <c:f>'Sprint 04 Backlog'!$B$7:$B$14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F-4FD6-A68E-B3EE08C7B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0978516"/>
        <c:axId val="893966701"/>
      </c:lineChart>
      <c:catAx>
        <c:axId val="810978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t>Days</a:t>
                </a:r>
              </a:p>
            </c:rich>
          </c:tx>
          <c:overlay val="0"/>
        </c:title>
        <c:majorTickMark val="cross"/>
        <c:minorTickMark val="cross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893966701"/>
        <c:crosses val="autoZero"/>
        <c:auto val="1"/>
        <c:lblAlgn val="ctr"/>
        <c:lblOffset val="100"/>
        <c:noMultiLvlLbl val="1"/>
      </c:catAx>
      <c:valAx>
        <c:axId val="893966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t>Tasks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810978516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1962150</xdr:colOff>
      <xdr:row>1</xdr:row>
      <xdr:rowOff>38100</xdr:rowOff>
    </xdr:from>
    <xdr:ext cx="5448300" cy="28194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1676400</xdr:colOff>
      <xdr:row>2</xdr:row>
      <xdr:rowOff>57150</xdr:rowOff>
    </xdr:from>
    <xdr:ext cx="3543300" cy="18383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1676400</xdr:colOff>
      <xdr:row>2</xdr:row>
      <xdr:rowOff>57150</xdr:rowOff>
    </xdr:from>
    <xdr:ext cx="3486150" cy="1838325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1676400</xdr:colOff>
      <xdr:row>2</xdr:row>
      <xdr:rowOff>57150</xdr:rowOff>
    </xdr:from>
    <xdr:ext cx="3486150" cy="1838325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1676400</xdr:colOff>
      <xdr:row>2</xdr:row>
      <xdr:rowOff>57150</xdr:rowOff>
    </xdr:from>
    <xdr:ext cx="3486150" cy="1838325"/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A1:Z1000"/>
  <sheetViews>
    <sheetView topLeftCell="A16" workbookViewId="0"/>
  </sheetViews>
  <sheetFormatPr defaultColWidth="14.44140625" defaultRowHeight="15" customHeight="1" x14ac:dyDescent="0.4"/>
  <cols>
    <col min="1" max="1" width="13.71875" customWidth="1"/>
    <col min="2" max="2" width="11" customWidth="1"/>
    <col min="3" max="3" width="8.5546875" customWidth="1"/>
    <col min="4" max="4" width="7.109375" customWidth="1"/>
    <col min="5" max="5" width="4.44140625" customWidth="1"/>
    <col min="6" max="6" width="8.44140625" customWidth="1"/>
    <col min="7" max="7" width="35.109375" customWidth="1"/>
    <col min="8" max="8" width="13" customWidth="1"/>
    <col min="9" max="9" width="45.5546875" customWidth="1"/>
    <col min="10" max="10" width="37" customWidth="1"/>
    <col min="11" max="11" width="62.27734375" customWidth="1"/>
    <col min="12" max="26" width="8.71875" customWidth="1"/>
  </cols>
  <sheetData>
    <row r="1" spans="1:26" ht="12.75" customHeight="1" x14ac:dyDescent="0.4">
      <c r="A1" s="2" t="s">
        <v>1</v>
      </c>
      <c r="B1" s="41" t="s">
        <v>3</v>
      </c>
      <c r="C1" s="42"/>
      <c r="D1" s="42"/>
      <c r="E1" s="42"/>
      <c r="F1" s="42"/>
      <c r="G1" s="42"/>
      <c r="H1" s="5"/>
      <c r="I1" s="7" t="s">
        <v>2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4">
      <c r="A2" s="2" t="s">
        <v>6</v>
      </c>
      <c r="B2" s="43"/>
      <c r="C2" s="44"/>
      <c r="D2" s="44"/>
      <c r="E2" s="44"/>
      <c r="F2" s="44"/>
      <c r="G2" s="45"/>
      <c r="H2" s="5"/>
      <c r="I2" s="5"/>
      <c r="J2" s="5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4">
      <c r="A3" s="2"/>
      <c r="B3" s="2"/>
      <c r="C3" s="5"/>
      <c r="D3" s="5"/>
      <c r="E3" s="5"/>
      <c r="F3" s="5"/>
      <c r="G3" s="5"/>
      <c r="H3" s="5"/>
      <c r="I3" s="5"/>
      <c r="J3" s="5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4">
      <c r="A4" s="2"/>
      <c r="B4" s="5" t="s">
        <v>10</v>
      </c>
      <c r="C4" s="5"/>
      <c r="D4" s="5"/>
      <c r="E4" s="5"/>
      <c r="F4" s="5"/>
      <c r="G4" s="5"/>
      <c r="H4" s="5" t="s">
        <v>11</v>
      </c>
      <c r="I4" s="5" t="s">
        <v>12</v>
      </c>
      <c r="J4" s="5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4">
      <c r="A5" s="2" t="s">
        <v>13</v>
      </c>
      <c r="B5" s="46"/>
      <c r="C5" s="47"/>
      <c r="D5" s="47"/>
      <c r="E5" s="47"/>
      <c r="F5" s="47"/>
      <c r="G5" s="48"/>
      <c r="H5" s="13"/>
      <c r="I5" s="13"/>
      <c r="J5" s="5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4">
      <c r="J6" s="5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4">
      <c r="J7" s="5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4">
      <c r="J8" s="5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4">
      <c r="J9" s="5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4">
      <c r="J10" s="5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4">
      <c r="A11" s="14" t="s">
        <v>0</v>
      </c>
      <c r="B11" s="15" t="s">
        <v>14</v>
      </c>
      <c r="C11" s="16" t="s">
        <v>21</v>
      </c>
      <c r="D11" s="16"/>
      <c r="E11" s="5"/>
      <c r="F11" s="5"/>
      <c r="G11" s="5" t="s">
        <v>22</v>
      </c>
      <c r="H11" s="5"/>
      <c r="I11" s="5"/>
      <c r="J11" s="5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4">
      <c r="A12" s="17">
        <v>0</v>
      </c>
      <c r="B12" s="5">
        <f>COUNT(B24:B127)</f>
        <v>22</v>
      </c>
      <c r="C12" s="16"/>
      <c r="D12" s="16"/>
      <c r="E12" s="5"/>
      <c r="F12" s="18" t="s">
        <v>24</v>
      </c>
      <c r="G12" s="5" t="s">
        <v>26</v>
      </c>
      <c r="H12" s="5"/>
      <c r="I12" s="5"/>
      <c r="J12" s="5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4">
      <c r="A13" s="17">
        <v>1</v>
      </c>
      <c r="B13" s="5">
        <f t="shared" ref="B13:B17" si="0">B12-C13</f>
        <v>22</v>
      </c>
      <c r="C13" s="16">
        <f>COUNTIF(G$24:G$101,"Finished in Sprint 1")</f>
        <v>0</v>
      </c>
      <c r="D13" s="16"/>
      <c r="E13" s="5"/>
      <c r="F13" s="18">
        <v>1</v>
      </c>
      <c r="G13" s="5" t="s">
        <v>27</v>
      </c>
      <c r="H13" s="5"/>
      <c r="I13" s="5"/>
      <c r="J13" s="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4">
      <c r="A14" s="17">
        <v>2</v>
      </c>
      <c r="B14" s="5">
        <f t="shared" si="0"/>
        <v>22</v>
      </c>
      <c r="C14" s="16">
        <f>COUNTIF(G$24:G$101,"Finished in Sprint 2")</f>
        <v>0</v>
      </c>
      <c r="D14" s="16"/>
      <c r="E14" s="5"/>
      <c r="F14" s="18">
        <v>2</v>
      </c>
      <c r="G14" s="5" t="s">
        <v>29</v>
      </c>
      <c r="H14" s="5"/>
      <c r="I14" s="5"/>
      <c r="J14" s="5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4">
      <c r="A15" s="17">
        <v>3</v>
      </c>
      <c r="B15" s="5">
        <f t="shared" si="0"/>
        <v>22</v>
      </c>
      <c r="C15" s="16">
        <f>COUNTIF(G$24:G$101,"Finished in Sprint 3")</f>
        <v>0</v>
      </c>
      <c r="D15" s="16"/>
      <c r="E15" s="5"/>
      <c r="F15" s="18">
        <v>3</v>
      </c>
      <c r="G15" s="5" t="s">
        <v>37</v>
      </c>
      <c r="H15" s="5"/>
      <c r="I15" s="5"/>
      <c r="J15" s="5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4">
      <c r="A16" s="17">
        <v>4</v>
      </c>
      <c r="B16" s="5">
        <f t="shared" si="0"/>
        <v>22</v>
      </c>
      <c r="C16" s="16">
        <f t="shared" ref="C16:C17" si="1">COUNTIF(G$24:G$101,"Finished in Sprint 4")</f>
        <v>0</v>
      </c>
      <c r="D16" s="16"/>
      <c r="E16" s="5"/>
      <c r="F16" s="18"/>
      <c r="G16" s="5"/>
      <c r="H16" s="5"/>
      <c r="I16" s="5"/>
      <c r="J16" s="5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4">
      <c r="A17" s="17">
        <v>5</v>
      </c>
      <c r="B17" s="5">
        <f t="shared" si="0"/>
        <v>22</v>
      </c>
      <c r="C17" s="16">
        <f t="shared" si="1"/>
        <v>0</v>
      </c>
      <c r="D17" s="16"/>
      <c r="E17" s="5"/>
      <c r="F17" s="18"/>
      <c r="G17" s="5"/>
      <c r="H17" s="5"/>
      <c r="I17" s="5"/>
      <c r="J17" s="5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4">
      <c r="A18" s="17"/>
      <c r="B18" s="5"/>
      <c r="C18" s="5"/>
      <c r="D18" s="5"/>
      <c r="E18" s="5"/>
      <c r="F18" s="18"/>
      <c r="G18" s="5"/>
      <c r="H18" s="5"/>
      <c r="I18" s="5"/>
      <c r="J18" s="5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4">
      <c r="A19" s="2"/>
      <c r="B19" s="5"/>
      <c r="C19" s="5"/>
      <c r="D19" s="5"/>
      <c r="E19" s="5"/>
      <c r="F19" s="5"/>
      <c r="G19" s="5"/>
      <c r="H19" s="5"/>
      <c r="I19" s="5"/>
      <c r="J19" s="5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4">
      <c r="A20" s="2"/>
      <c r="B20" s="5"/>
      <c r="C20" s="5"/>
      <c r="D20" s="5"/>
      <c r="E20" s="5"/>
      <c r="F20" s="5"/>
      <c r="G20" s="5"/>
      <c r="H20" s="27" t="s">
        <v>47</v>
      </c>
      <c r="I20" s="5"/>
      <c r="J20" s="5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4">
      <c r="A21" s="5"/>
      <c r="B21" s="5"/>
      <c r="C21" s="5"/>
      <c r="D21" s="5"/>
      <c r="E21" s="5"/>
      <c r="F21" s="5"/>
      <c r="G21" s="5"/>
      <c r="H21" s="5" t="s">
        <v>52</v>
      </c>
      <c r="I21" s="5"/>
      <c r="J21" s="5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4">
      <c r="A22" s="28"/>
      <c r="B22" s="28"/>
      <c r="C22" s="28"/>
      <c r="D22" s="28"/>
      <c r="E22" s="28"/>
      <c r="F22" s="49" t="s">
        <v>54</v>
      </c>
      <c r="G22" s="42"/>
      <c r="H22" s="28"/>
      <c r="I22" s="28"/>
      <c r="J22" s="2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4">
      <c r="A23" s="29" t="s">
        <v>31</v>
      </c>
      <c r="B23" s="29" t="s">
        <v>56</v>
      </c>
      <c r="C23" s="29" t="s">
        <v>13</v>
      </c>
      <c r="D23" s="29" t="s">
        <v>57</v>
      </c>
      <c r="E23" s="29" t="s">
        <v>58</v>
      </c>
      <c r="F23" s="29" t="s">
        <v>59</v>
      </c>
      <c r="G23" s="29" t="s">
        <v>34</v>
      </c>
      <c r="H23" s="29" t="s">
        <v>60</v>
      </c>
      <c r="I23" s="29" t="s">
        <v>61</v>
      </c>
      <c r="J23" s="29" t="s">
        <v>62</v>
      </c>
      <c r="K23" s="29" t="s">
        <v>35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4">
      <c r="A24" s="30" t="s">
        <v>36</v>
      </c>
      <c r="B24" s="31">
        <v>1</v>
      </c>
      <c r="C24" s="31">
        <v>1</v>
      </c>
      <c r="D24" s="31"/>
      <c r="E24" s="31">
        <v>3</v>
      </c>
      <c r="F24" s="32"/>
      <c r="G24" s="32"/>
      <c r="H24" s="33" t="s">
        <v>68</v>
      </c>
      <c r="I24" s="34" t="s">
        <v>70</v>
      </c>
      <c r="J24" s="34" t="s">
        <v>71</v>
      </c>
      <c r="K24" s="3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4">
      <c r="A25" s="30" t="s">
        <v>45</v>
      </c>
      <c r="B25" s="31">
        <v>2</v>
      </c>
      <c r="C25" s="31">
        <v>1</v>
      </c>
      <c r="D25" s="31"/>
      <c r="E25" s="31">
        <v>8</v>
      </c>
      <c r="F25" s="32"/>
      <c r="G25" s="32"/>
      <c r="H25" s="33" t="s">
        <v>74</v>
      </c>
      <c r="I25" s="34" t="s">
        <v>75</v>
      </c>
      <c r="J25" s="34" t="s">
        <v>76</v>
      </c>
      <c r="K25" s="3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4">
      <c r="A26" s="30" t="s">
        <v>50</v>
      </c>
      <c r="B26" s="31">
        <v>3</v>
      </c>
      <c r="C26" s="31">
        <v>1</v>
      </c>
      <c r="D26" s="31"/>
      <c r="E26" s="31">
        <v>8</v>
      </c>
      <c r="F26" s="32"/>
      <c r="G26" s="32"/>
      <c r="H26" s="33" t="s">
        <v>68</v>
      </c>
      <c r="I26" s="34" t="s">
        <v>77</v>
      </c>
      <c r="J26" s="34" t="s">
        <v>78</v>
      </c>
      <c r="K26" s="3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4">
      <c r="A27" s="30" t="s">
        <v>64</v>
      </c>
      <c r="B27" s="31">
        <v>4</v>
      </c>
      <c r="C27" s="31">
        <v>1</v>
      </c>
      <c r="D27" s="31"/>
      <c r="E27" s="31">
        <v>13</v>
      </c>
      <c r="F27" s="32"/>
      <c r="G27" s="32"/>
      <c r="H27" s="33" t="s">
        <v>68</v>
      </c>
      <c r="I27" s="34" t="s">
        <v>79</v>
      </c>
      <c r="J27" s="34" t="s">
        <v>80</v>
      </c>
      <c r="K27" s="3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4">
      <c r="A28" s="35" t="s">
        <v>81</v>
      </c>
      <c r="B28" s="36">
        <v>5</v>
      </c>
      <c r="C28" s="36">
        <v>2</v>
      </c>
      <c r="D28" s="36"/>
      <c r="E28" s="36">
        <v>21</v>
      </c>
      <c r="F28" s="32"/>
      <c r="G28" s="32"/>
      <c r="H28" s="33" t="s">
        <v>68</v>
      </c>
      <c r="I28" s="34" t="s">
        <v>82</v>
      </c>
      <c r="J28" s="34" t="s">
        <v>83</v>
      </c>
      <c r="K28" s="34" t="s">
        <v>84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4">
      <c r="A29" s="35" t="s">
        <v>85</v>
      </c>
      <c r="B29" s="36">
        <v>6</v>
      </c>
      <c r="C29" s="36">
        <v>2</v>
      </c>
      <c r="D29" s="36"/>
      <c r="E29" s="36">
        <v>5</v>
      </c>
      <c r="F29" s="32"/>
      <c r="G29" s="32"/>
      <c r="H29" s="33" t="s">
        <v>68</v>
      </c>
      <c r="I29" s="34" t="s">
        <v>86</v>
      </c>
      <c r="J29" s="34" t="s">
        <v>87</v>
      </c>
      <c r="K29" s="34" t="s">
        <v>88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5">
      <c r="A30" s="35" t="s">
        <v>89</v>
      </c>
      <c r="B30" s="36">
        <v>7</v>
      </c>
      <c r="C30" s="36">
        <v>2</v>
      </c>
      <c r="D30" s="36"/>
      <c r="E30" s="36">
        <v>8</v>
      </c>
      <c r="F30" s="32"/>
      <c r="G30" s="32"/>
      <c r="H30" s="33" t="s">
        <v>68</v>
      </c>
      <c r="I30" s="37" t="s">
        <v>90</v>
      </c>
      <c r="J30" s="37" t="s">
        <v>91</v>
      </c>
      <c r="K30" s="34" t="s">
        <v>92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4">
      <c r="A31" s="35" t="s">
        <v>93</v>
      </c>
      <c r="B31" s="36">
        <v>8</v>
      </c>
      <c r="C31" s="36">
        <v>2</v>
      </c>
      <c r="D31" s="36"/>
      <c r="E31" s="36">
        <v>1</v>
      </c>
      <c r="F31" s="32"/>
      <c r="G31" s="32"/>
      <c r="H31" s="33" t="s">
        <v>94</v>
      </c>
      <c r="I31" s="34" t="s">
        <v>95</v>
      </c>
      <c r="J31" s="34" t="s">
        <v>96</v>
      </c>
      <c r="K31" s="34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 x14ac:dyDescent="0.4">
      <c r="A32" s="30" t="s">
        <v>97</v>
      </c>
      <c r="B32" s="31">
        <v>9</v>
      </c>
      <c r="C32" s="31">
        <v>3</v>
      </c>
      <c r="D32" s="31"/>
      <c r="E32" s="31">
        <v>13</v>
      </c>
      <c r="F32" s="32"/>
      <c r="G32" s="32"/>
      <c r="H32" s="33" t="s">
        <v>98</v>
      </c>
      <c r="I32" s="34" t="s">
        <v>99</v>
      </c>
      <c r="J32" s="34" t="s">
        <v>100</v>
      </c>
      <c r="K32" s="34" t="s">
        <v>101</v>
      </c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 x14ac:dyDescent="0.4">
      <c r="A33" s="30" t="s">
        <v>102</v>
      </c>
      <c r="B33" s="31">
        <v>10</v>
      </c>
      <c r="C33" s="31">
        <v>3</v>
      </c>
      <c r="D33" s="31"/>
      <c r="E33" s="31">
        <v>5</v>
      </c>
      <c r="F33" s="32"/>
      <c r="G33" s="32"/>
      <c r="H33" s="33" t="s">
        <v>98</v>
      </c>
      <c r="I33" s="34" t="s">
        <v>103</v>
      </c>
      <c r="J33" s="34" t="s">
        <v>100</v>
      </c>
      <c r="K33" s="34" t="s">
        <v>104</v>
      </c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 x14ac:dyDescent="0.4">
      <c r="A34" s="30" t="s">
        <v>105</v>
      </c>
      <c r="B34" s="31">
        <v>11</v>
      </c>
      <c r="C34" s="31">
        <v>3</v>
      </c>
      <c r="D34" s="31"/>
      <c r="E34" s="31">
        <v>8</v>
      </c>
      <c r="F34" s="32"/>
      <c r="G34" s="32"/>
      <c r="H34" s="33" t="s">
        <v>98</v>
      </c>
      <c r="I34" s="34" t="s">
        <v>106</v>
      </c>
      <c r="J34" s="34" t="s">
        <v>100</v>
      </c>
      <c r="K34" s="34" t="s">
        <v>104</v>
      </c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 x14ac:dyDescent="0.4">
      <c r="A35" s="35" t="s">
        <v>107</v>
      </c>
      <c r="B35" s="36">
        <v>12</v>
      </c>
      <c r="C35" s="36">
        <v>4</v>
      </c>
      <c r="D35" s="36"/>
      <c r="E35" s="36">
        <v>21</v>
      </c>
      <c r="F35" s="32"/>
      <c r="G35" s="32"/>
      <c r="H35" s="33" t="s">
        <v>108</v>
      </c>
      <c r="I35" s="34" t="s">
        <v>109</v>
      </c>
      <c r="J35" s="34" t="s">
        <v>110</v>
      </c>
      <c r="K35" s="3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4">
      <c r="A36" s="35" t="s">
        <v>111</v>
      </c>
      <c r="B36" s="36">
        <v>13</v>
      </c>
      <c r="C36" s="36">
        <v>4</v>
      </c>
      <c r="D36" s="36"/>
      <c r="E36" s="36">
        <v>8</v>
      </c>
      <c r="F36" s="32"/>
      <c r="G36" s="32"/>
      <c r="H36" s="33" t="s">
        <v>68</v>
      </c>
      <c r="I36" s="34" t="s">
        <v>112</v>
      </c>
      <c r="J36" s="34" t="s">
        <v>113</v>
      </c>
      <c r="K36" s="34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 x14ac:dyDescent="0.4">
      <c r="A37" s="30"/>
      <c r="B37" s="31"/>
      <c r="C37" s="31"/>
      <c r="D37" s="31"/>
      <c r="E37" s="31"/>
      <c r="F37" s="32"/>
      <c r="G37" s="32"/>
      <c r="H37" s="33"/>
      <c r="I37" s="34"/>
      <c r="J37" s="34"/>
      <c r="K37" s="34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 x14ac:dyDescent="0.4">
      <c r="A38" s="30"/>
      <c r="B38" s="31"/>
      <c r="C38" s="31"/>
      <c r="D38" s="31"/>
      <c r="E38" s="31"/>
      <c r="F38" s="32"/>
      <c r="G38" s="32"/>
      <c r="H38" s="33"/>
      <c r="I38" s="39" t="s">
        <v>114</v>
      </c>
      <c r="J38" s="34"/>
      <c r="K38" s="34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 x14ac:dyDescent="0.4">
      <c r="A39" s="30"/>
      <c r="B39" s="31"/>
      <c r="C39" s="31"/>
      <c r="D39" s="31"/>
      <c r="E39" s="31"/>
      <c r="F39" s="32"/>
      <c r="G39" s="32"/>
      <c r="H39" s="33"/>
      <c r="I39" s="34"/>
      <c r="J39" s="34"/>
      <c r="K39" s="3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4">
      <c r="A40" s="30" t="s">
        <v>115</v>
      </c>
      <c r="B40" s="31">
        <v>14</v>
      </c>
      <c r="C40" s="31"/>
      <c r="D40" s="31">
        <v>25</v>
      </c>
      <c r="E40" s="31">
        <v>13</v>
      </c>
      <c r="F40" s="32"/>
      <c r="G40" s="32"/>
      <c r="H40" s="33" t="s">
        <v>108</v>
      </c>
      <c r="I40" s="34" t="s">
        <v>116</v>
      </c>
      <c r="J40" s="34" t="s">
        <v>110</v>
      </c>
      <c r="K40" s="34" t="s">
        <v>117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4">
      <c r="A41" s="30" t="s">
        <v>118</v>
      </c>
      <c r="B41" s="31">
        <v>15</v>
      </c>
      <c r="C41" s="31"/>
      <c r="D41" s="31">
        <v>10</v>
      </c>
      <c r="E41" s="31">
        <v>5</v>
      </c>
      <c r="F41" s="32"/>
      <c r="G41" s="32"/>
      <c r="H41" s="33" t="s">
        <v>108</v>
      </c>
      <c r="I41" s="34" t="s">
        <v>119</v>
      </c>
      <c r="J41" s="34" t="s">
        <v>110</v>
      </c>
      <c r="K41" s="34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 x14ac:dyDescent="0.4">
      <c r="A42" s="30" t="s">
        <v>120</v>
      </c>
      <c r="B42" s="31">
        <v>16</v>
      </c>
      <c r="C42" s="31"/>
      <c r="D42" s="31">
        <v>15</v>
      </c>
      <c r="E42" s="31">
        <v>8</v>
      </c>
      <c r="F42" s="32"/>
      <c r="G42" s="32"/>
      <c r="H42" s="33" t="s">
        <v>68</v>
      </c>
      <c r="I42" s="34" t="s">
        <v>121</v>
      </c>
      <c r="J42" s="34" t="s">
        <v>113</v>
      </c>
      <c r="K42" s="34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 x14ac:dyDescent="0.4">
      <c r="A43" s="30" t="s">
        <v>122</v>
      </c>
      <c r="B43" s="31">
        <v>17</v>
      </c>
      <c r="C43" s="31"/>
      <c r="D43" s="31">
        <v>40</v>
      </c>
      <c r="E43" s="31">
        <v>21</v>
      </c>
      <c r="F43" s="32"/>
      <c r="G43" s="32"/>
      <c r="H43" s="33" t="s">
        <v>68</v>
      </c>
      <c r="I43" s="34" t="s">
        <v>123</v>
      </c>
      <c r="J43" s="34" t="s">
        <v>113</v>
      </c>
      <c r="K43" s="34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 x14ac:dyDescent="0.4">
      <c r="A44" s="30" t="s">
        <v>124</v>
      </c>
      <c r="B44" s="31">
        <v>18</v>
      </c>
      <c r="C44" s="31"/>
      <c r="D44" s="31">
        <v>25</v>
      </c>
      <c r="E44" s="31">
        <v>13</v>
      </c>
      <c r="F44" s="32"/>
      <c r="G44" s="32"/>
      <c r="H44" s="33" t="s">
        <v>68</v>
      </c>
      <c r="I44" s="34" t="s">
        <v>125</v>
      </c>
      <c r="J44" s="34" t="s">
        <v>113</v>
      </c>
      <c r="K44" s="34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 x14ac:dyDescent="0.4">
      <c r="A45" s="30" t="s">
        <v>126</v>
      </c>
      <c r="B45" s="31">
        <v>19</v>
      </c>
      <c r="C45" s="31"/>
      <c r="D45" s="31">
        <v>10</v>
      </c>
      <c r="E45" s="31">
        <v>5</v>
      </c>
      <c r="F45" s="32"/>
      <c r="G45" s="32"/>
      <c r="H45" s="33" t="s">
        <v>108</v>
      </c>
      <c r="I45" s="34" t="s">
        <v>127</v>
      </c>
      <c r="J45" s="34" t="s">
        <v>128</v>
      </c>
      <c r="K45" s="34" t="s">
        <v>129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 x14ac:dyDescent="0.4">
      <c r="A46" s="30" t="s">
        <v>130</v>
      </c>
      <c r="B46" s="31">
        <v>20</v>
      </c>
      <c r="C46" s="31"/>
      <c r="D46" s="31">
        <v>10</v>
      </c>
      <c r="E46" s="31">
        <v>5</v>
      </c>
      <c r="F46" s="32"/>
      <c r="G46" s="32"/>
      <c r="H46" s="33" t="s">
        <v>108</v>
      </c>
      <c r="I46" s="34" t="s">
        <v>131</v>
      </c>
      <c r="J46" s="34" t="s">
        <v>132</v>
      </c>
      <c r="K46" s="34" t="s">
        <v>133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4">
      <c r="A47" s="30" t="s">
        <v>134</v>
      </c>
      <c r="B47" s="31">
        <v>21</v>
      </c>
      <c r="C47" s="31"/>
      <c r="D47" s="31">
        <v>25</v>
      </c>
      <c r="E47" s="31">
        <v>13</v>
      </c>
      <c r="F47" s="32"/>
      <c r="G47" s="32"/>
      <c r="H47" s="33" t="s">
        <v>74</v>
      </c>
      <c r="I47" s="34" t="s">
        <v>135</v>
      </c>
      <c r="J47" s="34" t="s">
        <v>136</v>
      </c>
      <c r="K47" s="34" t="s">
        <v>137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4">
      <c r="A48" s="30" t="s">
        <v>138</v>
      </c>
      <c r="B48" s="31">
        <v>22</v>
      </c>
      <c r="C48" s="31"/>
      <c r="D48" s="31">
        <v>15</v>
      </c>
      <c r="E48" s="31">
        <v>8</v>
      </c>
      <c r="F48" s="32"/>
      <c r="G48" s="32"/>
      <c r="H48" s="33" t="s">
        <v>98</v>
      </c>
      <c r="I48" s="34" t="s">
        <v>139</v>
      </c>
      <c r="J48" s="34" t="s">
        <v>140</v>
      </c>
      <c r="K48" s="34" t="s">
        <v>141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4">
      <c r="A49" s="30"/>
      <c r="B49" s="31"/>
      <c r="C49" s="31"/>
      <c r="D49" s="31"/>
      <c r="E49" s="31"/>
      <c r="F49" s="32"/>
      <c r="G49" s="32"/>
      <c r="H49" s="33"/>
      <c r="I49" s="34"/>
      <c r="J49" s="34"/>
      <c r="K49" s="3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4">
      <c r="A50" s="30"/>
      <c r="B50" s="31"/>
      <c r="C50" s="31"/>
      <c r="D50" s="31"/>
      <c r="E50" s="31"/>
      <c r="F50" s="32"/>
      <c r="G50" s="32"/>
      <c r="H50" s="33"/>
      <c r="I50" s="34"/>
      <c r="J50" s="34"/>
      <c r="K50" s="3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4">
      <c r="A51" s="30"/>
      <c r="B51" s="31"/>
      <c r="C51" s="31"/>
      <c r="D51" s="31"/>
      <c r="E51" s="31"/>
      <c r="F51" s="32"/>
      <c r="G51" s="32"/>
      <c r="H51" s="33"/>
      <c r="I51" s="34"/>
      <c r="J51" s="34"/>
      <c r="K51" s="3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4">
      <c r="A52" s="30"/>
      <c r="B52" s="31"/>
      <c r="C52" s="31"/>
      <c r="D52" s="31"/>
      <c r="E52" s="31"/>
      <c r="F52" s="32"/>
      <c r="G52" s="32"/>
      <c r="H52" s="33"/>
      <c r="I52" s="34"/>
      <c r="J52" s="34"/>
      <c r="K52" s="3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4">
      <c r="A53" s="30"/>
      <c r="B53" s="31"/>
      <c r="C53" s="31"/>
      <c r="D53" s="31"/>
      <c r="E53" s="31"/>
      <c r="F53" s="32"/>
      <c r="G53" s="32"/>
      <c r="H53" s="33"/>
      <c r="I53" s="34"/>
      <c r="J53" s="34"/>
      <c r="K53" s="3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4">
      <c r="A54" s="30"/>
      <c r="B54" s="31"/>
      <c r="C54" s="31"/>
      <c r="D54" s="31"/>
      <c r="E54" s="31"/>
      <c r="F54" s="32"/>
      <c r="G54" s="32"/>
      <c r="H54" s="33"/>
      <c r="I54" s="34"/>
      <c r="J54" s="34"/>
      <c r="K54" s="3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4">
      <c r="A55" s="30"/>
      <c r="B55" s="31"/>
      <c r="C55" s="31"/>
      <c r="D55" s="31"/>
      <c r="E55" s="31"/>
      <c r="F55" s="32"/>
      <c r="G55" s="32"/>
      <c r="H55" s="33"/>
      <c r="I55" s="34"/>
      <c r="J55" s="34"/>
      <c r="K55" s="3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4">
      <c r="A56" s="30"/>
      <c r="B56" s="31"/>
      <c r="C56" s="31"/>
      <c r="D56" s="31"/>
      <c r="E56" s="31"/>
      <c r="F56" s="32"/>
      <c r="G56" s="32"/>
      <c r="H56" s="33"/>
      <c r="I56" s="30"/>
      <c r="J56" s="34"/>
      <c r="K56" s="3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4">
      <c r="A57" s="30"/>
      <c r="B57" s="31"/>
      <c r="C57" s="31"/>
      <c r="D57" s="31"/>
      <c r="E57" s="31"/>
      <c r="F57" s="32"/>
      <c r="G57" s="32"/>
      <c r="H57" s="33"/>
      <c r="I57" s="30"/>
      <c r="J57" s="34"/>
      <c r="K57" s="3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4">
      <c r="A58" s="30"/>
      <c r="B58" s="31"/>
      <c r="C58" s="31"/>
      <c r="D58" s="31"/>
      <c r="E58" s="31"/>
      <c r="F58" s="32"/>
      <c r="G58" s="32"/>
      <c r="H58" s="33"/>
      <c r="I58" s="30"/>
      <c r="J58" s="34"/>
      <c r="K58" s="3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4">
      <c r="A59" s="30"/>
      <c r="B59" s="31"/>
      <c r="C59" s="31"/>
      <c r="D59" s="31"/>
      <c r="E59" s="31"/>
      <c r="F59" s="32"/>
      <c r="G59" s="32"/>
      <c r="H59" s="33"/>
      <c r="I59" s="30"/>
      <c r="J59" s="34"/>
      <c r="K59" s="3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4">
      <c r="A60" s="30"/>
      <c r="B60" s="31"/>
      <c r="C60" s="31"/>
      <c r="D60" s="31"/>
      <c r="E60" s="31"/>
      <c r="F60" s="32"/>
      <c r="G60" s="32"/>
      <c r="H60" s="33"/>
      <c r="I60" s="30"/>
      <c r="J60" s="34"/>
      <c r="K60" s="3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4">
      <c r="A61" s="30"/>
      <c r="B61" s="31"/>
      <c r="C61" s="31"/>
      <c r="D61" s="31"/>
      <c r="E61" s="31"/>
      <c r="F61" s="32"/>
      <c r="G61" s="32"/>
      <c r="H61" s="33"/>
      <c r="I61" s="30"/>
      <c r="J61" s="34"/>
      <c r="K61" s="3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4">
      <c r="A62" s="30"/>
      <c r="B62" s="31"/>
      <c r="C62" s="31"/>
      <c r="D62" s="31"/>
      <c r="E62" s="31"/>
      <c r="F62" s="32"/>
      <c r="G62" s="32"/>
      <c r="H62" s="33"/>
      <c r="I62" s="30"/>
      <c r="J62" s="34"/>
      <c r="K62" s="3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4">
      <c r="A63" s="30"/>
      <c r="B63" s="31"/>
      <c r="C63" s="31"/>
      <c r="D63" s="31"/>
      <c r="E63" s="31"/>
      <c r="F63" s="32"/>
      <c r="G63" s="32"/>
      <c r="H63" s="33"/>
      <c r="I63" s="30"/>
      <c r="J63" s="34"/>
      <c r="K63" s="3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4">
      <c r="A64" s="30"/>
      <c r="B64" s="31"/>
      <c r="C64" s="31"/>
      <c r="D64" s="31"/>
      <c r="E64" s="31"/>
      <c r="F64" s="32"/>
      <c r="G64" s="32"/>
      <c r="H64" s="33"/>
      <c r="I64" s="30"/>
      <c r="J64" s="34"/>
      <c r="K64" s="3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4">
      <c r="A65" s="30"/>
      <c r="B65" s="31"/>
      <c r="C65" s="31"/>
      <c r="D65" s="31"/>
      <c r="E65" s="31"/>
      <c r="F65" s="32"/>
      <c r="G65" s="32"/>
      <c r="H65" s="33"/>
      <c r="I65" s="30"/>
      <c r="J65" s="34"/>
      <c r="K65" s="3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4">
      <c r="A66" s="30"/>
      <c r="B66" s="31"/>
      <c r="C66" s="31"/>
      <c r="D66" s="31"/>
      <c r="E66" s="31"/>
      <c r="F66" s="32"/>
      <c r="G66" s="32"/>
      <c r="H66" s="33"/>
      <c r="I66" s="30"/>
      <c r="J66" s="34"/>
      <c r="K66" s="3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4">
      <c r="A67" s="30"/>
      <c r="B67" s="31"/>
      <c r="C67" s="31"/>
      <c r="D67" s="31"/>
      <c r="E67" s="31"/>
      <c r="F67" s="32"/>
      <c r="G67" s="32"/>
      <c r="H67" s="33"/>
      <c r="I67" s="30"/>
      <c r="J67" s="34"/>
      <c r="K67" s="3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4">
      <c r="A68" s="30"/>
      <c r="B68" s="31"/>
      <c r="C68" s="31"/>
      <c r="D68" s="31"/>
      <c r="E68" s="31"/>
      <c r="F68" s="32"/>
      <c r="G68" s="32"/>
      <c r="H68" s="33"/>
      <c r="I68" s="30"/>
      <c r="J68" s="34"/>
      <c r="K68" s="3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4">
      <c r="A69" s="30"/>
      <c r="B69" s="31"/>
      <c r="C69" s="31"/>
      <c r="D69" s="31"/>
      <c r="E69" s="31"/>
      <c r="F69" s="32"/>
      <c r="G69" s="32"/>
      <c r="H69" s="33"/>
      <c r="I69" s="30"/>
      <c r="J69" s="34"/>
      <c r="K69" s="3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4">
      <c r="A70" s="30"/>
      <c r="B70" s="31"/>
      <c r="C70" s="31"/>
      <c r="D70" s="31"/>
      <c r="E70" s="31"/>
      <c r="F70" s="32"/>
      <c r="G70" s="32"/>
      <c r="H70" s="33"/>
      <c r="I70" s="30"/>
      <c r="J70" s="34"/>
      <c r="K70" s="3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4">
      <c r="A71" s="30"/>
      <c r="B71" s="31"/>
      <c r="C71" s="31"/>
      <c r="D71" s="31"/>
      <c r="E71" s="31"/>
      <c r="F71" s="32"/>
      <c r="G71" s="32"/>
      <c r="H71" s="33"/>
      <c r="I71" s="30"/>
      <c r="J71" s="34"/>
      <c r="K71" s="3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4">
      <c r="A72" s="30"/>
      <c r="B72" s="31"/>
      <c r="C72" s="31"/>
      <c r="D72" s="31"/>
      <c r="E72" s="31"/>
      <c r="F72" s="32"/>
      <c r="G72" s="32"/>
      <c r="H72" s="33"/>
      <c r="I72" s="30"/>
      <c r="J72" s="34"/>
      <c r="K72" s="3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4">
      <c r="A73" s="30"/>
      <c r="B73" s="31"/>
      <c r="C73" s="31"/>
      <c r="D73" s="31"/>
      <c r="E73" s="31"/>
      <c r="F73" s="32"/>
      <c r="G73" s="32"/>
      <c r="H73" s="33"/>
      <c r="I73" s="30"/>
      <c r="J73" s="34"/>
      <c r="K73" s="3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4">
      <c r="A74" s="30"/>
      <c r="B74" s="31"/>
      <c r="C74" s="31"/>
      <c r="D74" s="31"/>
      <c r="E74" s="31"/>
      <c r="F74" s="32"/>
      <c r="G74" s="32"/>
      <c r="H74" s="33"/>
      <c r="I74" s="30"/>
      <c r="J74" s="34"/>
      <c r="K74" s="3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4">
      <c r="A75" s="30"/>
      <c r="B75" s="31"/>
      <c r="C75" s="31"/>
      <c r="D75" s="31"/>
      <c r="E75" s="31"/>
      <c r="F75" s="32"/>
      <c r="G75" s="32"/>
      <c r="H75" s="33"/>
      <c r="I75" s="30"/>
      <c r="J75" s="34"/>
      <c r="K75" s="3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4">
      <c r="A76" s="30"/>
      <c r="B76" s="31"/>
      <c r="C76" s="31"/>
      <c r="D76" s="31"/>
      <c r="E76" s="31"/>
      <c r="F76" s="32"/>
      <c r="G76" s="32"/>
      <c r="H76" s="33"/>
      <c r="I76" s="30"/>
      <c r="J76" s="34"/>
      <c r="K76" s="3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4">
      <c r="A77" s="30"/>
      <c r="B77" s="31"/>
      <c r="C77" s="31"/>
      <c r="D77" s="31"/>
      <c r="E77" s="31"/>
      <c r="F77" s="32"/>
      <c r="G77" s="32"/>
      <c r="H77" s="33"/>
      <c r="I77" s="30"/>
      <c r="J77" s="34"/>
      <c r="K77" s="3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4">
      <c r="A78" s="30"/>
      <c r="B78" s="31"/>
      <c r="C78" s="31"/>
      <c r="D78" s="31"/>
      <c r="E78" s="31"/>
      <c r="F78" s="32"/>
      <c r="G78" s="32"/>
      <c r="H78" s="33"/>
      <c r="I78" s="30"/>
      <c r="J78" s="34"/>
      <c r="K78" s="3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4">
      <c r="A79" s="30"/>
      <c r="B79" s="31"/>
      <c r="C79" s="31"/>
      <c r="D79" s="31"/>
      <c r="E79" s="31"/>
      <c r="F79" s="32"/>
      <c r="G79" s="32"/>
      <c r="H79" s="33"/>
      <c r="I79" s="30"/>
      <c r="J79" s="34"/>
      <c r="K79" s="3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4">
      <c r="A80" s="30"/>
      <c r="B80" s="31"/>
      <c r="C80" s="31"/>
      <c r="D80" s="31"/>
      <c r="E80" s="31"/>
      <c r="F80" s="32"/>
      <c r="G80" s="32"/>
      <c r="H80" s="33"/>
      <c r="I80" s="30"/>
      <c r="J80" s="34"/>
      <c r="K80" s="3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4">
      <c r="A81" s="30"/>
      <c r="B81" s="31"/>
      <c r="C81" s="31"/>
      <c r="D81" s="31"/>
      <c r="E81" s="31"/>
      <c r="F81" s="32"/>
      <c r="G81" s="32"/>
      <c r="H81" s="33"/>
      <c r="I81" s="30"/>
      <c r="J81" s="34"/>
      <c r="K81" s="3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4">
      <c r="A82" s="30"/>
      <c r="B82" s="31"/>
      <c r="C82" s="31"/>
      <c r="D82" s="31"/>
      <c r="E82" s="31"/>
      <c r="F82" s="32"/>
      <c r="G82" s="32"/>
      <c r="H82" s="33"/>
      <c r="I82" s="30"/>
      <c r="J82" s="34"/>
      <c r="K82" s="3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4">
      <c r="A83" s="30"/>
      <c r="B83" s="31"/>
      <c r="C83" s="31"/>
      <c r="D83" s="31"/>
      <c r="E83" s="31"/>
      <c r="F83" s="32"/>
      <c r="G83" s="32"/>
      <c r="H83" s="33"/>
      <c r="I83" s="30"/>
      <c r="J83" s="34"/>
      <c r="K83" s="34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4">
      <c r="A84" s="30"/>
      <c r="B84" s="31"/>
      <c r="C84" s="31"/>
      <c r="D84" s="31"/>
      <c r="E84" s="31"/>
      <c r="F84" s="32"/>
      <c r="G84" s="32"/>
      <c r="H84" s="33"/>
      <c r="I84" s="30"/>
      <c r="J84" s="34"/>
      <c r="K84" s="34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4">
      <c r="A85" s="30"/>
      <c r="B85" s="31"/>
      <c r="C85" s="31"/>
      <c r="D85" s="31"/>
      <c r="E85" s="31"/>
      <c r="F85" s="32"/>
      <c r="G85" s="32"/>
      <c r="H85" s="33"/>
      <c r="I85" s="30"/>
      <c r="J85" s="34"/>
      <c r="K85" s="34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4">
      <c r="A86" s="30"/>
      <c r="B86" s="31"/>
      <c r="C86" s="31"/>
      <c r="D86" s="31"/>
      <c r="E86" s="31"/>
      <c r="F86" s="32"/>
      <c r="G86" s="32"/>
      <c r="H86" s="33"/>
      <c r="I86" s="30"/>
      <c r="J86" s="34"/>
      <c r="K86" s="34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4">
      <c r="A87" s="30"/>
      <c r="B87" s="31"/>
      <c r="C87" s="31"/>
      <c r="D87" s="31"/>
      <c r="E87" s="31"/>
      <c r="F87" s="32"/>
      <c r="G87" s="32"/>
      <c r="H87" s="33"/>
      <c r="I87" s="30"/>
      <c r="J87" s="34"/>
      <c r="K87" s="34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4">
      <c r="A88" s="30"/>
      <c r="B88" s="31"/>
      <c r="C88" s="31"/>
      <c r="D88" s="31"/>
      <c r="E88" s="31"/>
      <c r="F88" s="32"/>
      <c r="G88" s="32"/>
      <c r="H88" s="33"/>
      <c r="I88" s="30"/>
      <c r="J88" s="34"/>
      <c r="K88" s="34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4">
      <c r="A89" s="30"/>
      <c r="B89" s="31"/>
      <c r="C89" s="31"/>
      <c r="D89" s="31"/>
      <c r="E89" s="31"/>
      <c r="F89" s="32"/>
      <c r="G89" s="32"/>
      <c r="H89" s="33"/>
      <c r="I89" s="30"/>
      <c r="J89" s="34"/>
      <c r="K89" s="34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4">
      <c r="A90" s="30"/>
      <c r="B90" s="31"/>
      <c r="C90" s="31"/>
      <c r="D90" s="31"/>
      <c r="E90" s="31"/>
      <c r="F90" s="32"/>
      <c r="G90" s="32"/>
      <c r="H90" s="33"/>
      <c r="I90" s="30"/>
      <c r="J90" s="34"/>
      <c r="K90" s="34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4">
      <c r="A91" s="30"/>
      <c r="B91" s="31"/>
      <c r="C91" s="31"/>
      <c r="D91" s="31"/>
      <c r="E91" s="31"/>
      <c r="F91" s="32"/>
      <c r="G91" s="32"/>
      <c r="H91" s="33"/>
      <c r="I91" s="30"/>
      <c r="J91" s="34"/>
      <c r="K91" s="34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4">
      <c r="A92" s="30"/>
      <c r="B92" s="31"/>
      <c r="C92" s="31"/>
      <c r="D92" s="31"/>
      <c r="E92" s="31"/>
      <c r="F92" s="32"/>
      <c r="G92" s="32"/>
      <c r="H92" s="33"/>
      <c r="I92" s="30"/>
      <c r="J92" s="34"/>
      <c r="K92" s="34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4">
      <c r="A93" s="30"/>
      <c r="B93" s="31"/>
      <c r="C93" s="31"/>
      <c r="D93" s="31"/>
      <c r="E93" s="31"/>
      <c r="F93" s="32"/>
      <c r="G93" s="32"/>
      <c r="H93" s="33"/>
      <c r="I93" s="30"/>
      <c r="J93" s="34"/>
      <c r="K93" s="34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4">
      <c r="A94" s="30"/>
      <c r="B94" s="31"/>
      <c r="C94" s="31"/>
      <c r="D94" s="31"/>
      <c r="E94" s="31"/>
      <c r="F94" s="32"/>
      <c r="G94" s="32"/>
      <c r="H94" s="33"/>
      <c r="I94" s="30"/>
      <c r="J94" s="34"/>
      <c r="K94" s="34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4">
      <c r="A95" s="30"/>
      <c r="B95" s="31"/>
      <c r="C95" s="31"/>
      <c r="D95" s="31"/>
      <c r="E95" s="31"/>
      <c r="F95" s="32"/>
      <c r="G95" s="32"/>
      <c r="H95" s="33"/>
      <c r="I95" s="30"/>
      <c r="J95" s="34"/>
      <c r="K95" s="34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4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4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4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4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4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4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4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4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4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4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4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4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4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4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4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4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4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4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4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4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4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4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4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4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4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4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4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4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4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4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4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4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4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4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4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4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4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4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4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4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4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4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4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4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4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4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4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4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4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4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4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4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4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4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4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4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4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4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4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4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4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4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4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4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4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4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4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4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4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4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4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4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4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4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4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4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4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4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4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4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4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4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4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4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4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4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4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4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4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4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4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4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4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4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4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4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4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4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4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4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4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4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4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4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4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4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4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4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4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4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4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4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4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4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4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4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4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4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4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4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4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4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4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4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4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4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4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4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4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4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4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4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4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4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4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4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4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4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4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4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4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4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4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4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4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4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4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4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4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4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4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4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4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4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4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4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4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4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4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4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4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4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4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4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4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4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4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4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4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4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4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4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4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4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4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4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4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4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4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4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4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4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4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4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4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4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4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4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4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4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4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4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4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4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4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4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4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4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4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4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4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4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4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4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4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4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4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4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4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4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4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4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4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4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4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4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4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4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4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4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4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4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4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4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4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4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4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4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4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4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4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4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4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4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4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4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4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4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4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4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4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4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4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4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4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4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4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4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4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4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4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4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4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4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4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4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4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B1:G1"/>
    <mergeCell ref="B2:G2"/>
    <mergeCell ref="B5:G5"/>
    <mergeCell ref="F22:G22"/>
  </mergeCells>
  <dataValidations count="5">
    <dataValidation type="list" allowBlank="1" showInputMessage="1" showErrorMessage="1" promptTitle="Implementation Sprint" prompt="Select the sprint number (1, 2, etc.) in which you plan to implement this feature.  This is just for planning purposes, it won't affect your grade._x000a__x000a_In Scrum, you only plan the current sprint, not future sprints, so you don't need to fill this in for any " sqref="F24:F95" xr:uid="{00000000-0002-0000-0000-000000000000}">
      <formula1>"1.0,2.0,3.0,4.0"</formula1>
    </dataValidation>
    <dataValidation type="list" allowBlank="1" showErrorMessage="1" sqref="H24:H31 H35:H95" xr:uid="{00000000-0002-0000-0000-000001000000}">
      <formula1>"Customer,Sales Staff,Inventory,Manager,Director"</formula1>
    </dataValidation>
    <dataValidation type="list" allowBlank="1" showErrorMessage="1" sqref="H32:H34" xr:uid="{00000000-0002-0000-0000-000002000000}">
      <formula1>"User,Client,Staff,Manager,Director"</formula1>
    </dataValidation>
    <dataValidation type="list" allowBlank="1" showInputMessage="1" showErrorMessage="1" promptTitle="Implementation Status" prompt="Leave blank initially (hint: Use the Delete key)_x000a_Select &quot;In Work&quot; when you begin designing and coding this feature._x000a_Select &quot;In Test&quot; when this feature is fully coded and you are testing it._x000a_Select  Finished ONLY when the feature works well and is READY TO" sqref="G24:G95" xr:uid="{00000000-0002-0000-0000-000003000000}">
      <formula1>"In Work,In Test,Finished in Sprint 1,Finished in Sprint 2,Finished in Sprint 3,Finished in Sprint 4"</formula1>
    </dataValidation>
    <dataValidation type="list" allowBlank="1" showInputMessage="1" showErrorMessage="1" promptTitle="Estimate" prompt="This is the professor's estimate as to the relative difficulty of this feature in &quot;points&quot;. _x000a__x000a_Points are unitless, and only have meaning relative to other estimates (a 2 point feature is expected to take about twice as long as a 1 point feature)._x000a__x000a_In a re" sqref="E24:E95" xr:uid="{00000000-0002-0000-0000-000004000000}">
      <formula1>"0.0,1.0,2.0,3.0,5.0,8.0,13.0,21.0,34.0,55.0,89.0"</formula1>
    </dataValidation>
  </dataValidations>
  <pageMargins left="0.78749999999999998" right="0.78749999999999998" top="1.0249999999999999" bottom="1.0249999999999999" header="0" footer="0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4"/>
  <cols>
    <col min="1" max="1" width="10.27734375" customWidth="1"/>
    <col min="2" max="2" width="11.5546875" customWidth="1"/>
    <col min="3" max="3" width="12.27734375" customWidth="1"/>
    <col min="4" max="4" width="51.83203125" customWidth="1"/>
    <col min="5" max="5" width="28.83203125" customWidth="1"/>
    <col min="6" max="6" width="51.83203125" customWidth="1"/>
    <col min="7" max="26" width="11.5546875" customWidth="1"/>
  </cols>
  <sheetData>
    <row r="1" spans="1:26" ht="12.75" customHeight="1" x14ac:dyDescent="0.6">
      <c r="A1" s="1" t="s">
        <v>0</v>
      </c>
      <c r="B1" s="1">
        <v>1</v>
      </c>
      <c r="C1" s="1"/>
      <c r="D1" s="3" t="s">
        <v>2</v>
      </c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4">
      <c r="A2" s="1" t="s">
        <v>4</v>
      </c>
      <c r="B2" s="9">
        <v>43893</v>
      </c>
      <c r="C2" s="1"/>
      <c r="D2" s="10" t="s">
        <v>5</v>
      </c>
      <c r="E2" s="1"/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4">
      <c r="A3" s="1" t="s">
        <v>7</v>
      </c>
      <c r="B3" s="9">
        <f>B2+21</f>
        <v>43914</v>
      </c>
      <c r="C3" s="1"/>
      <c r="D3" s="1"/>
      <c r="E3" s="1"/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4">
      <c r="A4" s="1" t="s">
        <v>8</v>
      </c>
      <c r="B4" s="11" t="s">
        <v>9</v>
      </c>
      <c r="C4" s="1"/>
      <c r="D4" s="1"/>
      <c r="E4" s="1"/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4">
      <c r="A5" s="1"/>
      <c r="B5" s="11"/>
      <c r="C5" s="1"/>
      <c r="D5" s="1"/>
      <c r="E5" s="1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4">
      <c r="A6" s="1"/>
      <c r="B6" s="12" t="s">
        <v>14</v>
      </c>
      <c r="C6" s="1" t="s">
        <v>15</v>
      </c>
      <c r="D6" s="1"/>
      <c r="E6" s="1"/>
      <c r="F6" s="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4">
      <c r="A7" s="1" t="s">
        <v>16</v>
      </c>
      <c r="B7" s="1">
        <f>COUNTA(D17:D995)</f>
        <v>16</v>
      </c>
      <c r="C7" s="1"/>
      <c r="D7" s="1"/>
      <c r="E7" s="1"/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4">
      <c r="A8" s="1" t="s">
        <v>17</v>
      </c>
      <c r="B8" s="1">
        <f t="shared" ref="B8:B14" si="0">B7-C8</f>
        <v>16</v>
      </c>
      <c r="C8" s="1">
        <f>COUNTIF(E$17:E$995, "Completed Day 1")</f>
        <v>0</v>
      </c>
      <c r="D8" s="1"/>
      <c r="E8" s="1"/>
      <c r="F8" s="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4">
      <c r="A9" s="1" t="s">
        <v>18</v>
      </c>
      <c r="B9" s="1">
        <f t="shared" si="0"/>
        <v>16</v>
      </c>
      <c r="C9" s="1">
        <f>COUNTIF(E$17:E$995, "Completed Day 2")</f>
        <v>0</v>
      </c>
      <c r="D9" s="1"/>
      <c r="E9" s="1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4">
      <c r="A10" s="1" t="s">
        <v>19</v>
      </c>
      <c r="B10" s="1">
        <f t="shared" si="0"/>
        <v>16</v>
      </c>
      <c r="C10" s="1">
        <f>COUNTIF(E$17:E$995, "Completed Day 3")</f>
        <v>0</v>
      </c>
      <c r="D10" s="1"/>
      <c r="E10" s="1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4">
      <c r="A11" s="1" t="s">
        <v>20</v>
      </c>
      <c r="B11" s="1">
        <f t="shared" si="0"/>
        <v>16</v>
      </c>
      <c r="C11" s="1">
        <f>COUNTIF(E$17:E$995, "Completed Day 4")</f>
        <v>0</v>
      </c>
      <c r="D11" s="1"/>
      <c r="E11" s="1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4">
      <c r="A12" s="1" t="s">
        <v>23</v>
      </c>
      <c r="B12" s="1">
        <f t="shared" si="0"/>
        <v>16</v>
      </c>
      <c r="C12" s="1">
        <f>COUNTIF(E$17:E$995, "Completed Day 5")</f>
        <v>0</v>
      </c>
      <c r="D12" s="1"/>
      <c r="E12" s="1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4">
      <c r="A13" s="1" t="s">
        <v>25</v>
      </c>
      <c r="B13" s="1">
        <f t="shared" si="0"/>
        <v>16</v>
      </c>
      <c r="C13" s="1">
        <f>COUNTIF(E$17:E$995, "Completed Day 6")</f>
        <v>0</v>
      </c>
      <c r="D13" s="1"/>
      <c r="E13" s="1"/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4">
      <c r="A14" s="1" t="s">
        <v>28</v>
      </c>
      <c r="B14" s="1">
        <f t="shared" si="0"/>
        <v>16</v>
      </c>
      <c r="C14" s="1">
        <f>COUNTIF(E$17:E$995, "Completed Day 7")</f>
        <v>0</v>
      </c>
      <c r="D14" s="1"/>
      <c r="E14" s="1"/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4">
      <c r="A15" s="1"/>
      <c r="B15" s="1"/>
      <c r="C15" s="1"/>
      <c r="D15" s="1"/>
      <c r="E15" s="1"/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4">
      <c r="A16" s="19" t="s">
        <v>30</v>
      </c>
      <c r="B16" s="19" t="s">
        <v>31</v>
      </c>
      <c r="C16" s="19" t="s">
        <v>32</v>
      </c>
      <c r="D16" s="19" t="s">
        <v>33</v>
      </c>
      <c r="E16" s="19" t="s">
        <v>34</v>
      </c>
      <c r="F16" s="20" t="s">
        <v>35</v>
      </c>
    </row>
    <row r="17" spans="1:6" ht="12.75" customHeight="1" x14ac:dyDescent="0.4">
      <c r="A17" s="2">
        <v>1</v>
      </c>
      <c r="B17" s="21" t="s">
        <v>36</v>
      </c>
      <c r="C17" s="2"/>
      <c r="D17" s="22" t="s">
        <v>38</v>
      </c>
      <c r="E17" s="24"/>
      <c r="F17" s="26" t="s">
        <v>40</v>
      </c>
    </row>
    <row r="18" spans="1:6" ht="12.75" customHeight="1" x14ac:dyDescent="0.4">
      <c r="A18" s="2">
        <v>2</v>
      </c>
      <c r="B18" s="21" t="s">
        <v>36</v>
      </c>
      <c r="C18" s="2"/>
      <c r="D18" s="22" t="s">
        <v>41</v>
      </c>
      <c r="E18" s="24"/>
      <c r="F18" s="26" t="s">
        <v>42</v>
      </c>
    </row>
    <row r="19" spans="1:6" ht="12.75" customHeight="1" x14ac:dyDescent="0.4">
      <c r="A19" s="2">
        <v>3</v>
      </c>
      <c r="B19" s="21" t="s">
        <v>36</v>
      </c>
      <c r="C19" s="2"/>
      <c r="D19" s="22" t="s">
        <v>43</v>
      </c>
      <c r="E19" s="25"/>
      <c r="F19" s="26" t="s">
        <v>44</v>
      </c>
    </row>
    <row r="20" spans="1:6" ht="12.75" customHeight="1" x14ac:dyDescent="0.4">
      <c r="A20" s="2">
        <v>4</v>
      </c>
      <c r="B20" s="21" t="s">
        <v>45</v>
      </c>
      <c r="C20" s="2"/>
      <c r="D20" s="22" t="s">
        <v>46</v>
      </c>
      <c r="E20" s="25"/>
      <c r="F20" s="26"/>
    </row>
    <row r="21" spans="1:6" ht="12.75" customHeight="1" x14ac:dyDescent="0.4">
      <c r="A21" s="2">
        <v>5</v>
      </c>
      <c r="B21" s="21" t="s">
        <v>45</v>
      </c>
      <c r="C21" s="2"/>
      <c r="D21" s="22" t="s">
        <v>48</v>
      </c>
      <c r="E21" s="25"/>
      <c r="F21" s="26"/>
    </row>
    <row r="22" spans="1:6" ht="12.75" customHeight="1" x14ac:dyDescent="0.4">
      <c r="A22" s="2">
        <v>6</v>
      </c>
      <c r="B22" s="21" t="s">
        <v>45</v>
      </c>
      <c r="C22" s="2"/>
      <c r="D22" s="22" t="s">
        <v>49</v>
      </c>
      <c r="E22" s="25"/>
      <c r="F22" s="26"/>
    </row>
    <row r="23" spans="1:6" ht="12.75" customHeight="1" x14ac:dyDescent="0.4">
      <c r="A23" s="2">
        <v>7</v>
      </c>
      <c r="B23" s="21" t="s">
        <v>50</v>
      </c>
      <c r="C23" s="2"/>
      <c r="D23" s="22" t="s">
        <v>51</v>
      </c>
      <c r="E23" s="25"/>
      <c r="F23" s="26"/>
    </row>
    <row r="24" spans="1:6" ht="12.75" customHeight="1" x14ac:dyDescent="0.4">
      <c r="A24" s="2">
        <v>8</v>
      </c>
      <c r="B24" s="21" t="s">
        <v>50</v>
      </c>
      <c r="C24" s="2"/>
      <c r="D24" s="22" t="s">
        <v>53</v>
      </c>
      <c r="E24" s="24"/>
      <c r="F24" s="26"/>
    </row>
    <row r="25" spans="1:6" ht="12.75" customHeight="1" x14ac:dyDescent="0.4">
      <c r="A25" s="2">
        <v>9</v>
      </c>
      <c r="B25" s="21" t="s">
        <v>50</v>
      </c>
      <c r="C25" s="2"/>
      <c r="D25" s="22" t="s">
        <v>55</v>
      </c>
      <c r="E25" s="24"/>
      <c r="F25" s="26"/>
    </row>
    <row r="26" spans="1:6" ht="12.75" customHeight="1" x14ac:dyDescent="0.4">
      <c r="A26" s="2">
        <v>10</v>
      </c>
      <c r="B26" s="21" t="s">
        <v>50</v>
      </c>
      <c r="C26" s="2"/>
      <c r="D26" s="22" t="s">
        <v>63</v>
      </c>
      <c r="E26" s="25"/>
      <c r="F26" s="26"/>
    </row>
    <row r="27" spans="1:6" ht="12.75" customHeight="1" x14ac:dyDescent="0.4">
      <c r="A27" s="2">
        <v>11</v>
      </c>
      <c r="B27" s="21" t="s">
        <v>64</v>
      </c>
      <c r="C27" s="2"/>
      <c r="D27" s="22" t="s">
        <v>65</v>
      </c>
      <c r="E27" s="25"/>
      <c r="F27" s="26"/>
    </row>
    <row r="28" spans="1:6" ht="12.75" customHeight="1" x14ac:dyDescent="0.4">
      <c r="A28" s="2">
        <v>12</v>
      </c>
      <c r="B28" s="21" t="s">
        <v>64</v>
      </c>
      <c r="C28" s="2"/>
      <c r="D28" s="22" t="s">
        <v>66</v>
      </c>
      <c r="E28" s="25"/>
      <c r="F28" s="26"/>
    </row>
    <row r="29" spans="1:6" ht="12.75" customHeight="1" x14ac:dyDescent="0.4">
      <c r="A29" s="2">
        <v>13</v>
      </c>
      <c r="B29" s="21" t="s">
        <v>64</v>
      </c>
      <c r="C29" s="2"/>
      <c r="D29" s="22" t="s">
        <v>67</v>
      </c>
      <c r="E29" s="25"/>
      <c r="F29" s="26"/>
    </row>
    <row r="30" spans="1:6" ht="12.75" customHeight="1" x14ac:dyDescent="0.4">
      <c r="A30" s="2">
        <v>14</v>
      </c>
      <c r="B30" s="21" t="s">
        <v>64</v>
      </c>
      <c r="C30" s="2"/>
      <c r="D30" s="22" t="s">
        <v>69</v>
      </c>
      <c r="E30" s="25"/>
      <c r="F30" s="26"/>
    </row>
    <row r="31" spans="1:6" ht="12.75" customHeight="1" x14ac:dyDescent="0.4">
      <c r="A31" s="2">
        <v>15</v>
      </c>
      <c r="B31" s="21" t="s">
        <v>64</v>
      </c>
      <c r="C31" s="2"/>
      <c r="D31" s="22" t="s">
        <v>72</v>
      </c>
      <c r="E31" s="25"/>
      <c r="F31" s="26"/>
    </row>
    <row r="32" spans="1:6" ht="12.75" customHeight="1" x14ac:dyDescent="0.4">
      <c r="A32" s="2">
        <v>16</v>
      </c>
      <c r="B32" s="21" t="s">
        <v>64</v>
      </c>
      <c r="C32" s="2"/>
      <c r="D32" s="22" t="s">
        <v>73</v>
      </c>
      <c r="E32" s="25"/>
      <c r="F32" s="26"/>
    </row>
    <row r="33" spans="1:6" ht="12.75" customHeight="1" x14ac:dyDescent="0.4">
      <c r="A33" s="2">
        <v>17</v>
      </c>
      <c r="B33" s="21"/>
      <c r="C33" s="2"/>
      <c r="D33" s="22"/>
      <c r="E33" s="25"/>
      <c r="F33" s="26"/>
    </row>
    <row r="34" spans="1:6" ht="12.75" customHeight="1" x14ac:dyDescent="0.4">
      <c r="A34" s="2">
        <v>18</v>
      </c>
      <c r="B34" s="21"/>
      <c r="C34" s="2"/>
      <c r="D34" s="22"/>
      <c r="E34" s="25"/>
      <c r="F34" s="26"/>
    </row>
    <row r="35" spans="1:6" ht="12.75" customHeight="1" x14ac:dyDescent="0.4">
      <c r="A35" s="2">
        <v>19</v>
      </c>
      <c r="B35" s="21"/>
      <c r="C35" s="2"/>
      <c r="D35" s="22"/>
      <c r="E35" s="25"/>
      <c r="F35" s="26"/>
    </row>
    <row r="36" spans="1:6" ht="12.75" customHeight="1" x14ac:dyDescent="0.4">
      <c r="A36" s="2">
        <v>20</v>
      </c>
      <c r="B36" s="21"/>
      <c r="C36" s="2"/>
      <c r="D36" s="22"/>
      <c r="E36" s="25"/>
      <c r="F36" s="26"/>
    </row>
    <row r="37" spans="1:6" ht="12.75" customHeight="1" x14ac:dyDescent="0.4">
      <c r="A37" s="2">
        <v>21</v>
      </c>
      <c r="B37" s="21"/>
      <c r="C37" s="2"/>
      <c r="D37" s="22"/>
      <c r="E37" s="25"/>
      <c r="F37" s="26"/>
    </row>
    <row r="38" spans="1:6" ht="12.75" customHeight="1" x14ac:dyDescent="0.4">
      <c r="A38" s="2">
        <v>22</v>
      </c>
      <c r="B38" s="21"/>
      <c r="C38" s="2"/>
      <c r="D38" s="22"/>
      <c r="E38" s="25"/>
      <c r="F38" s="26"/>
    </row>
    <row r="39" spans="1:6" ht="12.75" customHeight="1" x14ac:dyDescent="0.4">
      <c r="A39" s="2">
        <v>23</v>
      </c>
      <c r="B39" s="21"/>
      <c r="C39" s="2"/>
      <c r="D39" s="22"/>
      <c r="E39" s="25"/>
      <c r="F39" s="26"/>
    </row>
    <row r="40" spans="1:6" ht="12.75" customHeight="1" x14ac:dyDescent="0.4">
      <c r="A40" s="2">
        <v>24</v>
      </c>
      <c r="B40" s="21"/>
      <c r="C40" s="2"/>
      <c r="D40" s="22"/>
      <c r="E40" s="25"/>
      <c r="F40" s="26"/>
    </row>
    <row r="41" spans="1:6" ht="12.75" customHeight="1" x14ac:dyDescent="0.4">
      <c r="A41" s="2">
        <v>25</v>
      </c>
      <c r="B41" s="21"/>
      <c r="C41" s="2"/>
      <c r="D41" s="22"/>
      <c r="E41" s="25"/>
      <c r="F41" s="26"/>
    </row>
    <row r="42" spans="1:6" ht="12.75" customHeight="1" x14ac:dyDescent="0.4">
      <c r="A42" s="2">
        <v>26</v>
      </c>
      <c r="B42" s="21"/>
      <c r="C42" s="2"/>
      <c r="D42" s="22"/>
      <c r="E42" s="25"/>
      <c r="F42" s="26"/>
    </row>
    <row r="43" spans="1:6" ht="12.75" customHeight="1" x14ac:dyDescent="0.4">
      <c r="A43" s="2">
        <v>27</v>
      </c>
      <c r="B43" s="21"/>
      <c r="C43" s="2"/>
      <c r="D43" s="22"/>
      <c r="E43" s="25"/>
      <c r="F43" s="26"/>
    </row>
    <row r="44" spans="1:6" ht="12.75" customHeight="1" x14ac:dyDescent="0.4">
      <c r="A44" s="2">
        <v>28</v>
      </c>
      <c r="B44" s="21"/>
      <c r="C44" s="2"/>
      <c r="D44" s="22"/>
      <c r="E44" s="25"/>
      <c r="F44" s="26"/>
    </row>
    <row r="45" spans="1:6" ht="12.75" customHeight="1" x14ac:dyDescent="0.4">
      <c r="A45" s="2">
        <v>29</v>
      </c>
      <c r="B45" s="21"/>
      <c r="C45" s="2"/>
      <c r="D45" s="22"/>
      <c r="E45" s="25"/>
      <c r="F45" s="26"/>
    </row>
    <row r="46" spans="1:6" ht="12.75" customHeight="1" x14ac:dyDescent="0.4">
      <c r="A46" s="2">
        <v>30</v>
      </c>
      <c r="B46" s="21"/>
      <c r="C46" s="2"/>
      <c r="D46" s="22"/>
      <c r="E46" s="25"/>
      <c r="F46" s="26"/>
    </row>
    <row r="47" spans="1:6" ht="12.75" customHeight="1" x14ac:dyDescent="0.4">
      <c r="A47" s="2">
        <v>31</v>
      </c>
      <c r="B47" s="21"/>
      <c r="C47" s="2"/>
      <c r="D47" s="22"/>
      <c r="E47" s="25"/>
      <c r="F47" s="26"/>
    </row>
    <row r="48" spans="1:6" ht="12.75" customHeight="1" x14ac:dyDescent="0.4">
      <c r="A48" s="2">
        <v>32</v>
      </c>
      <c r="B48" s="21"/>
      <c r="C48" s="2"/>
      <c r="D48" s="22"/>
      <c r="E48" s="25"/>
      <c r="F48" s="26"/>
    </row>
    <row r="49" spans="1:6" ht="12.75" customHeight="1" x14ac:dyDescent="0.4">
      <c r="A49" s="2">
        <v>33</v>
      </c>
      <c r="B49" s="21"/>
      <c r="C49" s="2"/>
      <c r="D49" s="22"/>
      <c r="E49" s="25"/>
      <c r="F49" s="26"/>
    </row>
    <row r="50" spans="1:6" ht="12.75" customHeight="1" x14ac:dyDescent="0.4">
      <c r="A50" s="2">
        <v>34</v>
      </c>
      <c r="B50" s="21"/>
      <c r="C50" s="2"/>
      <c r="D50" s="22"/>
      <c r="E50" s="25"/>
      <c r="F50" s="26"/>
    </row>
    <row r="51" spans="1:6" ht="12.75" customHeight="1" x14ac:dyDescent="0.4">
      <c r="A51" s="2">
        <v>35</v>
      </c>
      <c r="B51" s="21"/>
      <c r="C51" s="2"/>
      <c r="D51" s="22"/>
      <c r="E51" s="25"/>
      <c r="F51" s="26"/>
    </row>
    <row r="52" spans="1:6" ht="12.75" customHeight="1" x14ac:dyDescent="0.4">
      <c r="A52" s="2">
        <v>36</v>
      </c>
      <c r="B52" s="21"/>
      <c r="C52" s="2"/>
      <c r="D52" s="22"/>
      <c r="E52" s="25"/>
      <c r="F52" s="26"/>
    </row>
    <row r="53" spans="1:6" ht="12.75" customHeight="1" x14ac:dyDescent="0.4">
      <c r="A53" s="2">
        <v>37</v>
      </c>
      <c r="B53" s="21"/>
      <c r="C53" s="2"/>
      <c r="D53" s="22"/>
      <c r="E53" s="25"/>
      <c r="F53" s="26"/>
    </row>
    <row r="54" spans="1:6" ht="12.75" customHeight="1" x14ac:dyDescent="0.4">
      <c r="A54" s="2">
        <v>38</v>
      </c>
      <c r="B54" s="21"/>
      <c r="C54" s="2"/>
      <c r="D54" s="22"/>
      <c r="E54" s="25"/>
      <c r="F54" s="26"/>
    </row>
    <row r="55" spans="1:6" ht="12.75" customHeight="1" x14ac:dyDescent="0.4">
      <c r="A55" s="2">
        <v>39</v>
      </c>
      <c r="B55" s="21"/>
      <c r="C55" s="2"/>
      <c r="D55" s="22"/>
      <c r="E55" s="25"/>
      <c r="F55" s="26"/>
    </row>
    <row r="56" spans="1:6" ht="12.75" customHeight="1" x14ac:dyDescent="0.4">
      <c r="A56" s="2">
        <v>40</v>
      </c>
      <c r="B56" s="21"/>
      <c r="C56" s="2"/>
      <c r="D56" s="22"/>
      <c r="E56" s="25"/>
      <c r="F56" s="26"/>
    </row>
    <row r="57" spans="1:6" ht="12.75" customHeight="1" x14ac:dyDescent="0.4">
      <c r="A57" s="2">
        <v>41</v>
      </c>
      <c r="B57" s="21"/>
      <c r="C57" s="2"/>
      <c r="D57" s="22"/>
      <c r="E57" s="25"/>
      <c r="F57" s="26"/>
    </row>
    <row r="58" spans="1:6" ht="12.75" customHeight="1" x14ac:dyDescent="0.4">
      <c r="A58" s="2">
        <v>42</v>
      </c>
      <c r="B58" s="21"/>
      <c r="C58" s="2"/>
      <c r="D58" s="22"/>
      <c r="E58" s="25"/>
      <c r="F58" s="26"/>
    </row>
    <row r="59" spans="1:6" ht="12.75" customHeight="1" x14ac:dyDescent="0.4">
      <c r="A59" s="2">
        <v>43</v>
      </c>
      <c r="B59" s="21"/>
      <c r="C59" s="2"/>
      <c r="D59" s="22"/>
      <c r="E59" s="25"/>
      <c r="F59" s="26"/>
    </row>
    <row r="60" spans="1:6" ht="12.75" customHeight="1" x14ac:dyDescent="0.4">
      <c r="A60" s="2">
        <v>44</v>
      </c>
      <c r="B60" s="21"/>
      <c r="C60" s="2"/>
      <c r="D60" s="22"/>
      <c r="E60" s="25"/>
      <c r="F60" s="26"/>
    </row>
    <row r="61" spans="1:6" ht="12.75" customHeight="1" x14ac:dyDescent="0.4">
      <c r="A61" s="2">
        <v>45</v>
      </c>
      <c r="B61" s="21"/>
      <c r="C61" s="2"/>
      <c r="D61" s="22"/>
      <c r="E61" s="25"/>
      <c r="F61" s="26"/>
    </row>
    <row r="62" spans="1:6" ht="12.75" customHeight="1" x14ac:dyDescent="0.4">
      <c r="A62" s="2">
        <v>46</v>
      </c>
      <c r="B62" s="21"/>
      <c r="C62" s="2"/>
      <c r="D62" s="22"/>
      <c r="E62" s="25"/>
      <c r="F62" s="26"/>
    </row>
    <row r="63" spans="1:6" ht="12.75" customHeight="1" x14ac:dyDescent="0.4">
      <c r="A63" s="2">
        <v>47</v>
      </c>
      <c r="B63" s="21"/>
      <c r="C63" s="2"/>
      <c r="D63" s="22"/>
      <c r="E63" s="25"/>
      <c r="F63" s="26"/>
    </row>
    <row r="64" spans="1:6" ht="12.75" customHeight="1" x14ac:dyDescent="0.4">
      <c r="A64" s="2">
        <v>48</v>
      </c>
      <c r="B64" s="21"/>
      <c r="C64" s="2"/>
      <c r="D64" s="22"/>
      <c r="E64" s="25"/>
      <c r="F64" s="26"/>
    </row>
    <row r="65" spans="1:6" ht="12.75" customHeight="1" x14ac:dyDescent="0.4">
      <c r="A65" s="2">
        <v>49</v>
      </c>
      <c r="B65" s="21"/>
      <c r="C65" s="2"/>
      <c r="D65" s="22"/>
      <c r="E65" s="25"/>
      <c r="F65" s="26"/>
    </row>
    <row r="66" spans="1:6" ht="12.75" customHeight="1" x14ac:dyDescent="0.4">
      <c r="A66" s="2">
        <v>50</v>
      </c>
      <c r="B66" s="21"/>
      <c r="C66" s="2"/>
      <c r="D66" s="22"/>
      <c r="E66" s="25"/>
      <c r="F66" s="26"/>
    </row>
    <row r="67" spans="1:6" ht="12.75" customHeight="1" x14ac:dyDescent="0.4">
      <c r="A67" s="2">
        <v>51</v>
      </c>
      <c r="B67" s="21"/>
      <c r="C67" s="2"/>
      <c r="D67" s="22"/>
      <c r="E67" s="25"/>
      <c r="F67" s="26"/>
    </row>
    <row r="68" spans="1:6" ht="12.75" customHeight="1" x14ac:dyDescent="0.4">
      <c r="A68" s="2">
        <v>52</v>
      </c>
      <c r="B68" s="21"/>
      <c r="C68" s="2"/>
      <c r="D68" s="22"/>
      <c r="E68" s="25"/>
      <c r="F68" s="26"/>
    </row>
    <row r="69" spans="1:6" ht="12.75" customHeight="1" x14ac:dyDescent="0.4">
      <c r="A69" s="2">
        <v>53</v>
      </c>
      <c r="B69" s="21"/>
      <c r="C69" s="2"/>
      <c r="D69" s="22"/>
      <c r="E69" s="25"/>
      <c r="F69" s="26"/>
    </row>
    <row r="70" spans="1:6" ht="12.75" customHeight="1" x14ac:dyDescent="0.4">
      <c r="A70" s="2">
        <v>54</v>
      </c>
      <c r="B70" s="21"/>
      <c r="C70" s="2"/>
      <c r="D70" s="22"/>
      <c r="E70" s="25"/>
      <c r="F70" s="26"/>
    </row>
    <row r="71" spans="1:6" ht="12.75" customHeight="1" x14ac:dyDescent="0.4">
      <c r="A71" s="2">
        <v>55</v>
      </c>
      <c r="B71" s="21"/>
      <c r="C71" s="2"/>
      <c r="D71" s="22"/>
      <c r="E71" s="25"/>
      <c r="F71" s="26"/>
    </row>
    <row r="72" spans="1:6" ht="12.75" customHeight="1" x14ac:dyDescent="0.4">
      <c r="A72" s="2">
        <v>56</v>
      </c>
      <c r="B72" s="21"/>
      <c r="C72" s="2"/>
      <c r="D72" s="22"/>
      <c r="E72" s="25"/>
      <c r="F72" s="26"/>
    </row>
    <row r="73" spans="1:6" ht="12.75" customHeight="1" x14ac:dyDescent="0.4">
      <c r="A73" s="2">
        <v>57</v>
      </c>
      <c r="B73" s="21"/>
      <c r="C73" s="2"/>
      <c r="D73" s="22"/>
      <c r="E73" s="25"/>
      <c r="F73" s="26"/>
    </row>
    <row r="74" spans="1:6" ht="12.75" customHeight="1" x14ac:dyDescent="0.4">
      <c r="A74" s="2">
        <v>58</v>
      </c>
      <c r="B74" s="21"/>
      <c r="C74" s="2"/>
      <c r="D74" s="22"/>
      <c r="E74" s="25"/>
      <c r="F74" s="26"/>
    </row>
    <row r="75" spans="1:6" ht="12.75" customHeight="1" x14ac:dyDescent="0.4">
      <c r="A75" s="2">
        <v>59</v>
      </c>
      <c r="B75" s="21"/>
      <c r="C75" s="2"/>
      <c r="D75" s="22"/>
      <c r="E75" s="25"/>
      <c r="F75" s="26"/>
    </row>
    <row r="76" spans="1:6" ht="12.75" customHeight="1" x14ac:dyDescent="0.4">
      <c r="A76" s="2">
        <v>60</v>
      </c>
      <c r="B76" s="21"/>
      <c r="C76" s="2"/>
      <c r="D76" s="22"/>
      <c r="E76" s="25"/>
      <c r="F76" s="26"/>
    </row>
    <row r="77" spans="1:6" ht="12.75" customHeight="1" x14ac:dyDescent="0.4">
      <c r="A77" s="2">
        <v>61</v>
      </c>
      <c r="B77" s="21"/>
      <c r="C77" s="2"/>
      <c r="D77" s="22"/>
      <c r="E77" s="25"/>
      <c r="F77" s="26"/>
    </row>
    <row r="78" spans="1:6" ht="12.75" customHeight="1" x14ac:dyDescent="0.4">
      <c r="A78" s="2">
        <v>62</v>
      </c>
      <c r="B78" s="21"/>
      <c r="C78" s="2"/>
      <c r="D78" s="22"/>
      <c r="E78" s="25"/>
      <c r="F78" s="26"/>
    </row>
    <row r="79" spans="1:6" ht="12.75" customHeight="1" x14ac:dyDescent="0.4">
      <c r="A79" s="2">
        <v>63</v>
      </c>
      <c r="B79" s="21"/>
      <c r="C79" s="2"/>
      <c r="D79" s="22"/>
      <c r="E79" s="25"/>
      <c r="F79" s="26"/>
    </row>
    <row r="80" spans="1:6" ht="12.75" customHeight="1" x14ac:dyDescent="0.4">
      <c r="A80" s="2">
        <v>64</v>
      </c>
      <c r="B80" s="21"/>
      <c r="C80" s="2"/>
      <c r="D80" s="22"/>
      <c r="E80" s="25"/>
      <c r="F80" s="26"/>
    </row>
    <row r="81" spans="1:6" ht="12.75" customHeight="1" x14ac:dyDescent="0.4">
      <c r="A81" s="2">
        <v>65</v>
      </c>
      <c r="B81" s="21"/>
      <c r="C81" s="2"/>
      <c r="D81" s="22"/>
      <c r="E81" s="25"/>
      <c r="F81" s="26"/>
    </row>
    <row r="82" spans="1:6" ht="12.75" customHeight="1" x14ac:dyDescent="0.4">
      <c r="A82" s="2">
        <v>66</v>
      </c>
      <c r="B82" s="21"/>
      <c r="C82" s="2"/>
      <c r="D82" s="22"/>
      <c r="E82" s="25"/>
      <c r="F82" s="26"/>
    </row>
    <row r="83" spans="1:6" ht="12.75" customHeight="1" x14ac:dyDescent="0.4">
      <c r="A83" s="2">
        <v>67</v>
      </c>
      <c r="B83" s="21"/>
      <c r="C83" s="2"/>
      <c r="D83" s="22"/>
      <c r="E83" s="25"/>
      <c r="F83" s="26"/>
    </row>
    <row r="84" spans="1:6" ht="12.75" customHeight="1" x14ac:dyDescent="0.4">
      <c r="A84" s="2">
        <v>68</v>
      </c>
      <c r="B84" s="21"/>
      <c r="C84" s="2"/>
      <c r="D84" s="22"/>
      <c r="E84" s="25"/>
      <c r="F84" s="26"/>
    </row>
    <row r="85" spans="1:6" ht="12.75" customHeight="1" x14ac:dyDescent="0.4">
      <c r="A85" s="2">
        <v>69</v>
      </c>
      <c r="B85" s="21"/>
      <c r="C85" s="2"/>
      <c r="D85" s="22"/>
      <c r="E85" s="25"/>
      <c r="F85" s="26"/>
    </row>
    <row r="86" spans="1:6" ht="12.75" customHeight="1" x14ac:dyDescent="0.4">
      <c r="A86" s="2">
        <v>70</v>
      </c>
      <c r="B86" s="21"/>
      <c r="C86" s="2"/>
      <c r="D86" s="22"/>
      <c r="E86" s="25"/>
      <c r="F86" s="26"/>
    </row>
    <row r="87" spans="1:6" ht="12.75" customHeight="1" x14ac:dyDescent="0.4">
      <c r="A87" s="2">
        <v>71</v>
      </c>
      <c r="B87" s="21"/>
      <c r="C87" s="2"/>
      <c r="D87" s="22"/>
      <c r="E87" s="25"/>
      <c r="F87" s="26"/>
    </row>
    <row r="88" spans="1:6" ht="12.75" customHeight="1" x14ac:dyDescent="0.4">
      <c r="A88" s="2">
        <v>72</v>
      </c>
      <c r="B88" s="21"/>
      <c r="C88" s="2"/>
      <c r="D88" s="22"/>
      <c r="E88" s="25"/>
      <c r="F88" s="26"/>
    </row>
    <row r="89" spans="1:6" ht="12.75" customHeight="1" x14ac:dyDescent="0.4">
      <c r="A89" s="2">
        <v>73</v>
      </c>
      <c r="B89" s="21"/>
      <c r="C89" s="2"/>
      <c r="D89" s="22"/>
      <c r="E89" s="25"/>
      <c r="F89" s="26"/>
    </row>
    <row r="90" spans="1:6" ht="12.75" customHeight="1" x14ac:dyDescent="0.4">
      <c r="A90" s="2">
        <v>74</v>
      </c>
      <c r="B90" s="21"/>
      <c r="C90" s="2"/>
      <c r="D90" s="22"/>
      <c r="E90" s="25"/>
      <c r="F90" s="26"/>
    </row>
    <row r="91" spans="1:6" ht="12.75" customHeight="1" x14ac:dyDescent="0.4">
      <c r="A91" s="2">
        <v>75</v>
      </c>
      <c r="B91" s="21"/>
      <c r="C91" s="2"/>
      <c r="D91" s="22"/>
      <c r="E91" s="25"/>
      <c r="F91" s="26"/>
    </row>
    <row r="92" spans="1:6" ht="12.75" customHeight="1" x14ac:dyDescent="0.4">
      <c r="A92" s="2">
        <v>76</v>
      </c>
      <c r="B92" s="21"/>
      <c r="C92" s="2"/>
      <c r="D92" s="22"/>
      <c r="E92" s="25"/>
      <c r="F92" s="26"/>
    </row>
    <row r="93" spans="1:6" ht="12.75" customHeight="1" x14ac:dyDescent="0.4">
      <c r="A93" s="2">
        <v>77</v>
      </c>
      <c r="B93" s="21"/>
      <c r="C93" s="2"/>
      <c r="D93" s="22"/>
      <c r="E93" s="25"/>
      <c r="F93" s="26"/>
    </row>
    <row r="94" spans="1:6" ht="12.75" customHeight="1" x14ac:dyDescent="0.4">
      <c r="A94" s="2">
        <v>78</v>
      </c>
      <c r="B94" s="21"/>
      <c r="C94" s="2"/>
      <c r="D94" s="22"/>
      <c r="E94" s="25"/>
      <c r="F94" s="26"/>
    </row>
    <row r="95" spans="1:6" ht="12.75" customHeight="1" x14ac:dyDescent="0.4">
      <c r="A95" s="2">
        <v>79</v>
      </c>
      <c r="B95" s="21"/>
      <c r="C95" s="2"/>
      <c r="D95" s="22"/>
      <c r="E95" s="25"/>
      <c r="F95" s="26"/>
    </row>
    <row r="96" spans="1:6" ht="12.75" customHeight="1" x14ac:dyDescent="0.4">
      <c r="A96" s="2">
        <v>80</v>
      </c>
      <c r="B96" s="21"/>
      <c r="C96" s="2"/>
      <c r="D96" s="22"/>
      <c r="E96" s="25"/>
      <c r="F96" s="26"/>
    </row>
    <row r="97" spans="1:6" ht="12.75" customHeight="1" x14ac:dyDescent="0.4">
      <c r="A97" s="2">
        <v>81</v>
      </c>
      <c r="B97" s="21"/>
      <c r="C97" s="2"/>
      <c r="D97" s="22"/>
      <c r="E97" s="25"/>
      <c r="F97" s="26"/>
    </row>
    <row r="98" spans="1:6" ht="12.75" customHeight="1" x14ac:dyDescent="0.4">
      <c r="A98" s="2">
        <v>82</v>
      </c>
      <c r="B98" s="21"/>
      <c r="C98" s="2"/>
      <c r="D98" s="22"/>
      <c r="E98" s="25"/>
      <c r="F98" s="26"/>
    </row>
    <row r="99" spans="1:6" ht="12.75" customHeight="1" x14ac:dyDescent="0.4">
      <c r="A99" s="2">
        <v>83</v>
      </c>
      <c r="B99" s="21"/>
      <c r="C99" s="2"/>
      <c r="D99" s="22"/>
      <c r="E99" s="25"/>
      <c r="F99" s="26"/>
    </row>
    <row r="100" spans="1:6" ht="12.75" customHeight="1" x14ac:dyDescent="0.4">
      <c r="A100" s="2">
        <v>84</v>
      </c>
      <c r="B100" s="21"/>
      <c r="C100" s="2"/>
      <c r="D100" s="22"/>
      <c r="E100" s="25"/>
      <c r="F100" s="26"/>
    </row>
    <row r="101" spans="1:6" ht="12.75" customHeight="1" x14ac:dyDescent="0.4">
      <c r="F101" s="40"/>
    </row>
    <row r="102" spans="1:6" ht="12.75" customHeight="1" x14ac:dyDescent="0.4">
      <c r="F102" s="40"/>
    </row>
    <row r="103" spans="1:6" ht="12.75" customHeight="1" x14ac:dyDescent="0.4">
      <c r="F103" s="40"/>
    </row>
    <row r="104" spans="1:6" ht="12.75" customHeight="1" x14ac:dyDescent="0.4">
      <c r="F104" s="40"/>
    </row>
    <row r="105" spans="1:6" ht="12.75" customHeight="1" x14ac:dyDescent="0.4">
      <c r="F105" s="40"/>
    </row>
    <row r="106" spans="1:6" ht="12.75" customHeight="1" x14ac:dyDescent="0.4">
      <c r="F106" s="40"/>
    </row>
    <row r="107" spans="1:6" ht="12.75" customHeight="1" x14ac:dyDescent="0.4">
      <c r="F107" s="40"/>
    </row>
    <row r="108" spans="1:6" ht="12.75" customHeight="1" x14ac:dyDescent="0.4">
      <c r="F108" s="40"/>
    </row>
    <row r="109" spans="1:6" ht="12.75" customHeight="1" x14ac:dyDescent="0.4">
      <c r="F109" s="40"/>
    </row>
    <row r="110" spans="1:6" ht="12.75" customHeight="1" x14ac:dyDescent="0.4">
      <c r="F110" s="40"/>
    </row>
    <row r="111" spans="1:6" ht="12.75" customHeight="1" x14ac:dyDescent="0.4">
      <c r="F111" s="40"/>
    </row>
    <row r="112" spans="1:6" ht="12.75" customHeight="1" x14ac:dyDescent="0.4">
      <c r="F112" s="40"/>
    </row>
    <row r="113" spans="6:6" ht="12.75" customHeight="1" x14ac:dyDescent="0.4">
      <c r="F113" s="40"/>
    </row>
    <row r="114" spans="6:6" ht="12.75" customHeight="1" x14ac:dyDescent="0.4">
      <c r="F114" s="40"/>
    </row>
    <row r="115" spans="6:6" ht="12.75" customHeight="1" x14ac:dyDescent="0.4">
      <c r="F115" s="40"/>
    </row>
    <row r="116" spans="6:6" ht="12.75" customHeight="1" x14ac:dyDescent="0.4">
      <c r="F116" s="40"/>
    </row>
    <row r="117" spans="6:6" ht="12.75" customHeight="1" x14ac:dyDescent="0.4">
      <c r="F117" s="40"/>
    </row>
    <row r="118" spans="6:6" ht="12.75" customHeight="1" x14ac:dyDescent="0.4">
      <c r="F118" s="40"/>
    </row>
    <row r="119" spans="6:6" ht="12.75" customHeight="1" x14ac:dyDescent="0.4">
      <c r="F119" s="40"/>
    </row>
    <row r="120" spans="6:6" ht="12.75" customHeight="1" x14ac:dyDescent="0.4">
      <c r="F120" s="40"/>
    </row>
    <row r="121" spans="6:6" ht="12.75" customHeight="1" x14ac:dyDescent="0.4">
      <c r="F121" s="40"/>
    </row>
    <row r="122" spans="6:6" ht="12.75" customHeight="1" x14ac:dyDescent="0.4">
      <c r="F122" s="40"/>
    </row>
    <row r="123" spans="6:6" ht="12.75" customHeight="1" x14ac:dyDescent="0.4">
      <c r="F123" s="40"/>
    </row>
    <row r="124" spans="6:6" ht="12.75" customHeight="1" x14ac:dyDescent="0.4">
      <c r="F124" s="40"/>
    </row>
    <row r="125" spans="6:6" ht="12.75" customHeight="1" x14ac:dyDescent="0.4">
      <c r="F125" s="40"/>
    </row>
    <row r="126" spans="6:6" ht="12.75" customHeight="1" x14ac:dyDescent="0.4">
      <c r="F126" s="40"/>
    </row>
    <row r="127" spans="6:6" ht="12.75" customHeight="1" x14ac:dyDescent="0.4">
      <c r="F127" s="40"/>
    </row>
    <row r="128" spans="6:6" ht="12.75" customHeight="1" x14ac:dyDescent="0.4">
      <c r="F128" s="40"/>
    </row>
    <row r="129" spans="6:6" ht="12.75" customHeight="1" x14ac:dyDescent="0.4">
      <c r="F129" s="40"/>
    </row>
    <row r="130" spans="6:6" ht="12.75" customHeight="1" x14ac:dyDescent="0.4">
      <c r="F130" s="40"/>
    </row>
    <row r="131" spans="6:6" ht="12.75" customHeight="1" x14ac:dyDescent="0.4">
      <c r="F131" s="40"/>
    </row>
    <row r="132" spans="6:6" ht="12.75" customHeight="1" x14ac:dyDescent="0.4">
      <c r="F132" s="40"/>
    </row>
    <row r="133" spans="6:6" ht="12.75" customHeight="1" x14ac:dyDescent="0.4">
      <c r="F133" s="40"/>
    </row>
    <row r="134" spans="6:6" ht="12.75" customHeight="1" x14ac:dyDescent="0.4">
      <c r="F134" s="40"/>
    </row>
    <row r="135" spans="6:6" ht="12.75" customHeight="1" x14ac:dyDescent="0.4">
      <c r="F135" s="40"/>
    </row>
    <row r="136" spans="6:6" ht="12.75" customHeight="1" x14ac:dyDescent="0.4">
      <c r="F136" s="40"/>
    </row>
    <row r="137" spans="6:6" ht="12.75" customHeight="1" x14ac:dyDescent="0.4">
      <c r="F137" s="40"/>
    </row>
    <row r="138" spans="6:6" ht="12.75" customHeight="1" x14ac:dyDescent="0.4">
      <c r="F138" s="40"/>
    </row>
    <row r="139" spans="6:6" ht="12.75" customHeight="1" x14ac:dyDescent="0.4">
      <c r="F139" s="40"/>
    </row>
    <row r="140" spans="6:6" ht="12.75" customHeight="1" x14ac:dyDescent="0.4">
      <c r="F140" s="40"/>
    </row>
    <row r="141" spans="6:6" ht="12.75" customHeight="1" x14ac:dyDescent="0.4">
      <c r="F141" s="40"/>
    </row>
    <row r="142" spans="6:6" ht="12.75" customHeight="1" x14ac:dyDescent="0.4">
      <c r="F142" s="40"/>
    </row>
    <row r="143" spans="6:6" ht="12.75" customHeight="1" x14ac:dyDescent="0.4">
      <c r="F143" s="40"/>
    </row>
    <row r="144" spans="6:6" ht="12.75" customHeight="1" x14ac:dyDescent="0.4">
      <c r="F144" s="40"/>
    </row>
    <row r="145" spans="6:6" ht="12.75" customHeight="1" x14ac:dyDescent="0.4">
      <c r="F145" s="40"/>
    </row>
    <row r="146" spans="6:6" ht="12.75" customHeight="1" x14ac:dyDescent="0.4">
      <c r="F146" s="40"/>
    </row>
    <row r="147" spans="6:6" ht="12.75" customHeight="1" x14ac:dyDescent="0.4">
      <c r="F147" s="40"/>
    </row>
    <row r="148" spans="6:6" ht="12.75" customHeight="1" x14ac:dyDescent="0.4">
      <c r="F148" s="40"/>
    </row>
    <row r="149" spans="6:6" ht="12.75" customHeight="1" x14ac:dyDescent="0.4">
      <c r="F149" s="40"/>
    </row>
    <row r="150" spans="6:6" ht="12.75" customHeight="1" x14ac:dyDescent="0.4">
      <c r="F150" s="40"/>
    </row>
    <row r="151" spans="6:6" ht="12.75" customHeight="1" x14ac:dyDescent="0.4">
      <c r="F151" s="40"/>
    </row>
    <row r="152" spans="6:6" ht="12.75" customHeight="1" x14ac:dyDescent="0.4">
      <c r="F152" s="40"/>
    </row>
    <row r="153" spans="6:6" ht="12.75" customHeight="1" x14ac:dyDescent="0.4">
      <c r="F153" s="40"/>
    </row>
    <row r="154" spans="6:6" ht="12.75" customHeight="1" x14ac:dyDescent="0.4">
      <c r="F154" s="40"/>
    </row>
    <row r="155" spans="6:6" ht="12.75" customHeight="1" x14ac:dyDescent="0.4">
      <c r="F155" s="40"/>
    </row>
    <row r="156" spans="6:6" ht="12.75" customHeight="1" x14ac:dyDescent="0.4">
      <c r="F156" s="40"/>
    </row>
    <row r="157" spans="6:6" ht="12.75" customHeight="1" x14ac:dyDescent="0.4">
      <c r="F157" s="40"/>
    </row>
    <row r="158" spans="6:6" ht="12.75" customHeight="1" x14ac:dyDescent="0.4">
      <c r="F158" s="40"/>
    </row>
    <row r="159" spans="6:6" ht="12.75" customHeight="1" x14ac:dyDescent="0.4">
      <c r="F159" s="40"/>
    </row>
    <row r="160" spans="6:6" ht="12.75" customHeight="1" x14ac:dyDescent="0.4">
      <c r="F160" s="40"/>
    </row>
    <row r="161" spans="6:6" ht="12.75" customHeight="1" x14ac:dyDescent="0.4">
      <c r="F161" s="40"/>
    </row>
    <row r="162" spans="6:6" ht="12.75" customHeight="1" x14ac:dyDescent="0.4">
      <c r="F162" s="40"/>
    </row>
    <row r="163" spans="6:6" ht="12.75" customHeight="1" x14ac:dyDescent="0.4">
      <c r="F163" s="40"/>
    </row>
    <row r="164" spans="6:6" ht="12.75" customHeight="1" x14ac:dyDescent="0.4">
      <c r="F164" s="40"/>
    </row>
    <row r="165" spans="6:6" ht="12.75" customHeight="1" x14ac:dyDescent="0.4">
      <c r="F165" s="40"/>
    </row>
    <row r="166" spans="6:6" ht="12.75" customHeight="1" x14ac:dyDescent="0.4">
      <c r="F166" s="40"/>
    </row>
    <row r="167" spans="6:6" ht="12.75" customHeight="1" x14ac:dyDescent="0.4">
      <c r="F167" s="40"/>
    </row>
    <row r="168" spans="6:6" ht="12.75" customHeight="1" x14ac:dyDescent="0.4">
      <c r="F168" s="40"/>
    </row>
    <row r="169" spans="6:6" ht="12.75" customHeight="1" x14ac:dyDescent="0.4">
      <c r="F169" s="40"/>
    </row>
    <row r="170" spans="6:6" ht="12.75" customHeight="1" x14ac:dyDescent="0.4">
      <c r="F170" s="40"/>
    </row>
    <row r="171" spans="6:6" ht="12.75" customHeight="1" x14ac:dyDescent="0.4">
      <c r="F171" s="40"/>
    </row>
    <row r="172" spans="6:6" ht="12.75" customHeight="1" x14ac:dyDescent="0.4">
      <c r="F172" s="40"/>
    </row>
    <row r="173" spans="6:6" ht="12.75" customHeight="1" x14ac:dyDescent="0.4">
      <c r="F173" s="40"/>
    </row>
    <row r="174" spans="6:6" ht="12.75" customHeight="1" x14ac:dyDescent="0.4">
      <c r="F174" s="40"/>
    </row>
    <row r="175" spans="6:6" ht="12.75" customHeight="1" x14ac:dyDescent="0.4">
      <c r="F175" s="40"/>
    </row>
    <row r="176" spans="6:6" ht="12.75" customHeight="1" x14ac:dyDescent="0.4">
      <c r="F176" s="40"/>
    </row>
    <row r="177" spans="6:6" ht="12.75" customHeight="1" x14ac:dyDescent="0.4">
      <c r="F177" s="40"/>
    </row>
    <row r="178" spans="6:6" ht="12.75" customHeight="1" x14ac:dyDescent="0.4">
      <c r="F178" s="40"/>
    </row>
    <row r="179" spans="6:6" ht="12.75" customHeight="1" x14ac:dyDescent="0.4">
      <c r="F179" s="40"/>
    </row>
    <row r="180" spans="6:6" ht="12.75" customHeight="1" x14ac:dyDescent="0.4">
      <c r="F180" s="40"/>
    </row>
    <row r="181" spans="6:6" ht="12.75" customHeight="1" x14ac:dyDescent="0.4">
      <c r="F181" s="40"/>
    </row>
    <row r="182" spans="6:6" ht="12.75" customHeight="1" x14ac:dyDescent="0.4">
      <c r="F182" s="40"/>
    </row>
    <row r="183" spans="6:6" ht="12.75" customHeight="1" x14ac:dyDescent="0.4">
      <c r="F183" s="40"/>
    </row>
    <row r="184" spans="6:6" ht="12.75" customHeight="1" x14ac:dyDescent="0.4">
      <c r="F184" s="40"/>
    </row>
    <row r="185" spans="6:6" ht="12.75" customHeight="1" x14ac:dyDescent="0.4">
      <c r="F185" s="40"/>
    </row>
    <row r="186" spans="6:6" ht="12.75" customHeight="1" x14ac:dyDescent="0.4">
      <c r="F186" s="40"/>
    </row>
    <row r="187" spans="6:6" ht="12.75" customHeight="1" x14ac:dyDescent="0.4">
      <c r="F187" s="40"/>
    </row>
    <row r="188" spans="6:6" ht="12.75" customHeight="1" x14ac:dyDescent="0.4">
      <c r="F188" s="40"/>
    </row>
    <row r="189" spans="6:6" ht="12.75" customHeight="1" x14ac:dyDescent="0.4">
      <c r="F189" s="40"/>
    </row>
    <row r="190" spans="6:6" ht="12.75" customHeight="1" x14ac:dyDescent="0.4">
      <c r="F190" s="40"/>
    </row>
    <row r="191" spans="6:6" ht="12.75" customHeight="1" x14ac:dyDescent="0.4">
      <c r="F191" s="40"/>
    </row>
    <row r="192" spans="6:6" ht="12.75" customHeight="1" x14ac:dyDescent="0.4">
      <c r="F192" s="40"/>
    </row>
    <row r="193" spans="6:6" ht="12.75" customHeight="1" x14ac:dyDescent="0.4">
      <c r="F193" s="40"/>
    </row>
    <row r="194" spans="6:6" ht="12.75" customHeight="1" x14ac:dyDescent="0.4">
      <c r="F194" s="40"/>
    </row>
    <row r="195" spans="6:6" ht="12.75" customHeight="1" x14ac:dyDescent="0.4">
      <c r="F195" s="40"/>
    </row>
    <row r="196" spans="6:6" ht="12.75" customHeight="1" x14ac:dyDescent="0.4">
      <c r="F196" s="40"/>
    </row>
    <row r="197" spans="6:6" ht="12.75" customHeight="1" x14ac:dyDescent="0.4">
      <c r="F197" s="40"/>
    </row>
    <row r="198" spans="6:6" ht="12.75" customHeight="1" x14ac:dyDescent="0.4">
      <c r="F198" s="40"/>
    </row>
    <row r="199" spans="6:6" ht="12.75" customHeight="1" x14ac:dyDescent="0.4">
      <c r="F199" s="40"/>
    </row>
    <row r="200" spans="6:6" ht="12.75" customHeight="1" x14ac:dyDescent="0.4">
      <c r="F200" s="40"/>
    </row>
    <row r="201" spans="6:6" ht="12.75" customHeight="1" x14ac:dyDescent="0.4">
      <c r="F201" s="40"/>
    </row>
    <row r="202" spans="6:6" ht="12.75" customHeight="1" x14ac:dyDescent="0.4">
      <c r="F202" s="40"/>
    </row>
    <row r="203" spans="6:6" ht="12.75" customHeight="1" x14ac:dyDescent="0.4">
      <c r="F203" s="40"/>
    </row>
    <row r="204" spans="6:6" ht="12.75" customHeight="1" x14ac:dyDescent="0.4">
      <c r="F204" s="40"/>
    </row>
    <row r="205" spans="6:6" ht="12.75" customHeight="1" x14ac:dyDescent="0.4">
      <c r="F205" s="40"/>
    </row>
    <row r="206" spans="6:6" ht="12.75" customHeight="1" x14ac:dyDescent="0.4">
      <c r="F206" s="40"/>
    </row>
    <row r="207" spans="6:6" ht="12.75" customHeight="1" x14ac:dyDescent="0.4">
      <c r="F207" s="40"/>
    </row>
    <row r="208" spans="6:6" ht="12.75" customHeight="1" x14ac:dyDescent="0.4">
      <c r="F208" s="40"/>
    </row>
    <row r="209" spans="6:6" ht="12.75" customHeight="1" x14ac:dyDescent="0.4">
      <c r="F209" s="40"/>
    </row>
    <row r="210" spans="6:6" ht="12.75" customHeight="1" x14ac:dyDescent="0.4">
      <c r="F210" s="40"/>
    </row>
    <row r="211" spans="6:6" ht="12.75" customHeight="1" x14ac:dyDescent="0.4">
      <c r="F211" s="40"/>
    </row>
    <row r="212" spans="6:6" ht="12.75" customHeight="1" x14ac:dyDescent="0.4">
      <c r="F212" s="40"/>
    </row>
    <row r="213" spans="6:6" ht="12.75" customHeight="1" x14ac:dyDescent="0.4">
      <c r="F213" s="40"/>
    </row>
    <row r="214" spans="6:6" ht="12.75" customHeight="1" x14ac:dyDescent="0.4">
      <c r="F214" s="40"/>
    </row>
    <row r="215" spans="6:6" ht="12.75" customHeight="1" x14ac:dyDescent="0.4">
      <c r="F215" s="40"/>
    </row>
    <row r="216" spans="6:6" ht="12.75" customHeight="1" x14ac:dyDescent="0.4">
      <c r="F216" s="40"/>
    </row>
    <row r="217" spans="6:6" ht="12.75" customHeight="1" x14ac:dyDescent="0.4">
      <c r="F217" s="40"/>
    </row>
    <row r="218" spans="6:6" ht="12.75" customHeight="1" x14ac:dyDescent="0.4">
      <c r="F218" s="40"/>
    </row>
    <row r="219" spans="6:6" ht="12.75" customHeight="1" x14ac:dyDescent="0.4">
      <c r="F219" s="40"/>
    </row>
    <row r="220" spans="6:6" ht="12.75" customHeight="1" x14ac:dyDescent="0.4">
      <c r="F220" s="40"/>
    </row>
    <row r="221" spans="6:6" ht="12.75" customHeight="1" x14ac:dyDescent="0.4">
      <c r="F221" s="40"/>
    </row>
    <row r="222" spans="6:6" ht="12.75" customHeight="1" x14ac:dyDescent="0.4">
      <c r="F222" s="40"/>
    </row>
    <row r="223" spans="6:6" ht="12.75" customHeight="1" x14ac:dyDescent="0.4">
      <c r="F223" s="40"/>
    </row>
    <row r="224" spans="6:6" ht="12.75" customHeight="1" x14ac:dyDescent="0.4">
      <c r="F224" s="40"/>
    </row>
    <row r="225" spans="6:6" ht="12.75" customHeight="1" x14ac:dyDescent="0.4">
      <c r="F225" s="40"/>
    </row>
    <row r="226" spans="6:6" ht="12.75" customHeight="1" x14ac:dyDescent="0.4">
      <c r="F226" s="40"/>
    </row>
    <row r="227" spans="6:6" ht="12.75" customHeight="1" x14ac:dyDescent="0.4">
      <c r="F227" s="40"/>
    </row>
    <row r="228" spans="6:6" ht="12.75" customHeight="1" x14ac:dyDescent="0.4">
      <c r="F228" s="40"/>
    </row>
    <row r="229" spans="6:6" ht="12.75" customHeight="1" x14ac:dyDescent="0.4">
      <c r="F229" s="40"/>
    </row>
    <row r="230" spans="6:6" ht="12.75" customHeight="1" x14ac:dyDescent="0.4">
      <c r="F230" s="40"/>
    </row>
    <row r="231" spans="6:6" ht="12.75" customHeight="1" x14ac:dyDescent="0.4">
      <c r="F231" s="40"/>
    </row>
    <row r="232" spans="6:6" ht="12.75" customHeight="1" x14ac:dyDescent="0.4">
      <c r="F232" s="40"/>
    </row>
    <row r="233" spans="6:6" ht="12.75" customHeight="1" x14ac:dyDescent="0.4">
      <c r="F233" s="40"/>
    </row>
    <row r="234" spans="6:6" ht="12.75" customHeight="1" x14ac:dyDescent="0.4">
      <c r="F234" s="40"/>
    </row>
    <row r="235" spans="6:6" ht="12.75" customHeight="1" x14ac:dyDescent="0.4">
      <c r="F235" s="40"/>
    </row>
    <row r="236" spans="6:6" ht="12.75" customHeight="1" x14ac:dyDescent="0.4">
      <c r="F236" s="40"/>
    </row>
    <row r="237" spans="6:6" ht="12.75" customHeight="1" x14ac:dyDescent="0.4">
      <c r="F237" s="40"/>
    </row>
    <row r="238" spans="6:6" ht="12.75" customHeight="1" x14ac:dyDescent="0.4">
      <c r="F238" s="40"/>
    </row>
    <row r="239" spans="6:6" ht="12.75" customHeight="1" x14ac:dyDescent="0.4">
      <c r="F239" s="40"/>
    </row>
    <row r="240" spans="6:6" ht="12.75" customHeight="1" x14ac:dyDescent="0.4">
      <c r="F240" s="40"/>
    </row>
    <row r="241" spans="6:6" ht="12.75" customHeight="1" x14ac:dyDescent="0.4">
      <c r="F241" s="40"/>
    </row>
    <row r="242" spans="6:6" ht="12.75" customHeight="1" x14ac:dyDescent="0.4">
      <c r="F242" s="40"/>
    </row>
    <row r="243" spans="6:6" ht="12.75" customHeight="1" x14ac:dyDescent="0.4">
      <c r="F243" s="40"/>
    </row>
    <row r="244" spans="6:6" ht="12.75" customHeight="1" x14ac:dyDescent="0.4">
      <c r="F244" s="40"/>
    </row>
    <row r="245" spans="6:6" ht="12.75" customHeight="1" x14ac:dyDescent="0.4">
      <c r="F245" s="40"/>
    </row>
    <row r="246" spans="6:6" ht="12.75" customHeight="1" x14ac:dyDescent="0.4">
      <c r="F246" s="40"/>
    </row>
    <row r="247" spans="6:6" ht="12.75" customHeight="1" x14ac:dyDescent="0.4">
      <c r="F247" s="40"/>
    </row>
    <row r="248" spans="6:6" ht="12.75" customHeight="1" x14ac:dyDescent="0.4">
      <c r="F248" s="40"/>
    </row>
    <row r="249" spans="6:6" ht="12.75" customHeight="1" x14ac:dyDescent="0.4">
      <c r="F249" s="40"/>
    </row>
    <row r="250" spans="6:6" ht="12.75" customHeight="1" x14ac:dyDescent="0.4">
      <c r="F250" s="40"/>
    </row>
    <row r="251" spans="6:6" ht="12.75" customHeight="1" x14ac:dyDescent="0.4">
      <c r="F251" s="40"/>
    </row>
    <row r="252" spans="6:6" ht="12.75" customHeight="1" x14ac:dyDescent="0.4">
      <c r="F252" s="40"/>
    </row>
    <row r="253" spans="6:6" ht="12.75" customHeight="1" x14ac:dyDescent="0.4">
      <c r="F253" s="40"/>
    </row>
    <row r="254" spans="6:6" ht="12.75" customHeight="1" x14ac:dyDescent="0.4">
      <c r="F254" s="40"/>
    </row>
    <row r="255" spans="6:6" ht="12.75" customHeight="1" x14ac:dyDescent="0.4">
      <c r="F255" s="40"/>
    </row>
    <row r="256" spans="6:6" ht="12.75" customHeight="1" x14ac:dyDescent="0.4">
      <c r="F256" s="40"/>
    </row>
    <row r="257" spans="6:6" ht="12.75" customHeight="1" x14ac:dyDescent="0.4">
      <c r="F257" s="40"/>
    </row>
    <row r="258" spans="6:6" ht="12.75" customHeight="1" x14ac:dyDescent="0.4">
      <c r="F258" s="40"/>
    </row>
    <row r="259" spans="6:6" ht="12.75" customHeight="1" x14ac:dyDescent="0.4">
      <c r="F259" s="40"/>
    </row>
    <row r="260" spans="6:6" ht="12.75" customHeight="1" x14ac:dyDescent="0.4">
      <c r="F260" s="40"/>
    </row>
    <row r="261" spans="6:6" ht="12.75" customHeight="1" x14ac:dyDescent="0.4">
      <c r="F261" s="40"/>
    </row>
    <row r="262" spans="6:6" ht="12.75" customHeight="1" x14ac:dyDescent="0.4">
      <c r="F262" s="40"/>
    </row>
    <row r="263" spans="6:6" ht="12.75" customHeight="1" x14ac:dyDescent="0.4">
      <c r="F263" s="40"/>
    </row>
    <row r="264" spans="6:6" ht="12.75" customHeight="1" x14ac:dyDescent="0.4">
      <c r="F264" s="40"/>
    </row>
    <row r="265" spans="6:6" ht="12.75" customHeight="1" x14ac:dyDescent="0.4">
      <c r="F265" s="40"/>
    </row>
    <row r="266" spans="6:6" ht="12.75" customHeight="1" x14ac:dyDescent="0.4">
      <c r="F266" s="40"/>
    </row>
    <row r="267" spans="6:6" ht="12.75" customHeight="1" x14ac:dyDescent="0.4">
      <c r="F267" s="40"/>
    </row>
    <row r="268" spans="6:6" ht="12.75" customHeight="1" x14ac:dyDescent="0.4">
      <c r="F268" s="40"/>
    </row>
    <row r="269" spans="6:6" ht="12.75" customHeight="1" x14ac:dyDescent="0.4">
      <c r="F269" s="40"/>
    </row>
    <row r="270" spans="6:6" ht="12.75" customHeight="1" x14ac:dyDescent="0.4">
      <c r="F270" s="40"/>
    </row>
    <row r="271" spans="6:6" ht="12.75" customHeight="1" x14ac:dyDescent="0.4">
      <c r="F271" s="40"/>
    </row>
    <row r="272" spans="6:6" ht="12.75" customHeight="1" x14ac:dyDescent="0.4">
      <c r="F272" s="40"/>
    </row>
    <row r="273" spans="6:6" ht="12.75" customHeight="1" x14ac:dyDescent="0.4">
      <c r="F273" s="40"/>
    </row>
    <row r="274" spans="6:6" ht="12.75" customHeight="1" x14ac:dyDescent="0.4">
      <c r="F274" s="40"/>
    </row>
    <row r="275" spans="6:6" ht="12.75" customHeight="1" x14ac:dyDescent="0.4">
      <c r="F275" s="40"/>
    </row>
    <row r="276" spans="6:6" ht="12.75" customHeight="1" x14ac:dyDescent="0.4">
      <c r="F276" s="40"/>
    </row>
    <row r="277" spans="6:6" ht="12.75" customHeight="1" x14ac:dyDescent="0.4">
      <c r="F277" s="40"/>
    </row>
    <row r="278" spans="6:6" ht="12.75" customHeight="1" x14ac:dyDescent="0.4">
      <c r="F278" s="40"/>
    </row>
    <row r="279" spans="6:6" ht="12.75" customHeight="1" x14ac:dyDescent="0.4">
      <c r="F279" s="40"/>
    </row>
    <row r="280" spans="6:6" ht="12.75" customHeight="1" x14ac:dyDescent="0.4">
      <c r="F280" s="40"/>
    </row>
    <row r="281" spans="6:6" ht="12.75" customHeight="1" x14ac:dyDescent="0.4">
      <c r="F281" s="40"/>
    </row>
    <row r="282" spans="6:6" ht="12.75" customHeight="1" x14ac:dyDescent="0.4">
      <c r="F282" s="40"/>
    </row>
    <row r="283" spans="6:6" ht="12.75" customHeight="1" x14ac:dyDescent="0.4">
      <c r="F283" s="40"/>
    </row>
    <row r="284" spans="6:6" ht="12.75" customHeight="1" x14ac:dyDescent="0.4">
      <c r="F284" s="40"/>
    </row>
    <row r="285" spans="6:6" ht="12.75" customHeight="1" x14ac:dyDescent="0.4">
      <c r="F285" s="40"/>
    </row>
    <row r="286" spans="6:6" ht="12.75" customHeight="1" x14ac:dyDescent="0.4">
      <c r="F286" s="40"/>
    </row>
    <row r="287" spans="6:6" ht="12.75" customHeight="1" x14ac:dyDescent="0.4">
      <c r="F287" s="40"/>
    </row>
    <row r="288" spans="6:6" ht="12.75" customHeight="1" x14ac:dyDescent="0.4">
      <c r="F288" s="40"/>
    </row>
    <row r="289" spans="6:6" ht="12.75" customHeight="1" x14ac:dyDescent="0.4">
      <c r="F289" s="40"/>
    </row>
    <row r="290" spans="6:6" ht="12.75" customHeight="1" x14ac:dyDescent="0.4">
      <c r="F290" s="40"/>
    </row>
    <row r="291" spans="6:6" ht="12.75" customHeight="1" x14ac:dyDescent="0.4">
      <c r="F291" s="40"/>
    </row>
    <row r="292" spans="6:6" ht="12.75" customHeight="1" x14ac:dyDescent="0.4">
      <c r="F292" s="40"/>
    </row>
    <row r="293" spans="6:6" ht="12.75" customHeight="1" x14ac:dyDescent="0.4">
      <c r="F293" s="40"/>
    </row>
    <row r="294" spans="6:6" ht="12.75" customHeight="1" x14ac:dyDescent="0.4">
      <c r="F294" s="40"/>
    </row>
    <row r="295" spans="6:6" ht="12.75" customHeight="1" x14ac:dyDescent="0.4">
      <c r="F295" s="40"/>
    </row>
    <row r="296" spans="6:6" ht="12.75" customHeight="1" x14ac:dyDescent="0.4">
      <c r="F296" s="40"/>
    </row>
    <row r="297" spans="6:6" ht="12.75" customHeight="1" x14ac:dyDescent="0.4">
      <c r="F297" s="40"/>
    </row>
    <row r="298" spans="6:6" ht="12.75" customHeight="1" x14ac:dyDescent="0.4">
      <c r="F298" s="40"/>
    </row>
    <row r="299" spans="6:6" ht="12.75" customHeight="1" x14ac:dyDescent="0.4">
      <c r="F299" s="40"/>
    </row>
    <row r="300" spans="6:6" ht="12.75" customHeight="1" x14ac:dyDescent="0.4">
      <c r="F300" s="40"/>
    </row>
    <row r="301" spans="6:6" ht="12.75" customHeight="1" x14ac:dyDescent="0.4">
      <c r="F301" s="40"/>
    </row>
    <row r="302" spans="6:6" ht="12.75" customHeight="1" x14ac:dyDescent="0.4">
      <c r="F302" s="40"/>
    </row>
    <row r="303" spans="6:6" ht="12.75" customHeight="1" x14ac:dyDescent="0.4">
      <c r="F303" s="40"/>
    </row>
    <row r="304" spans="6:6" ht="12.75" customHeight="1" x14ac:dyDescent="0.4">
      <c r="F304" s="40"/>
    </row>
    <row r="305" spans="6:6" ht="12.75" customHeight="1" x14ac:dyDescent="0.4">
      <c r="F305" s="40"/>
    </row>
    <row r="306" spans="6:6" ht="12.75" customHeight="1" x14ac:dyDescent="0.4">
      <c r="F306" s="40"/>
    </row>
    <row r="307" spans="6:6" ht="12.75" customHeight="1" x14ac:dyDescent="0.4">
      <c r="F307" s="40"/>
    </row>
    <row r="308" spans="6:6" ht="12.75" customHeight="1" x14ac:dyDescent="0.4">
      <c r="F308" s="40"/>
    </row>
    <row r="309" spans="6:6" ht="12.75" customHeight="1" x14ac:dyDescent="0.4">
      <c r="F309" s="40"/>
    </row>
    <row r="310" spans="6:6" ht="12.75" customHeight="1" x14ac:dyDescent="0.4">
      <c r="F310" s="40"/>
    </row>
    <row r="311" spans="6:6" ht="12.75" customHeight="1" x14ac:dyDescent="0.4">
      <c r="F311" s="40"/>
    </row>
    <row r="312" spans="6:6" ht="12.75" customHeight="1" x14ac:dyDescent="0.4">
      <c r="F312" s="40"/>
    </row>
    <row r="313" spans="6:6" ht="12.75" customHeight="1" x14ac:dyDescent="0.4">
      <c r="F313" s="40"/>
    </row>
    <row r="314" spans="6:6" ht="12.75" customHeight="1" x14ac:dyDescent="0.4">
      <c r="F314" s="40"/>
    </row>
    <row r="315" spans="6:6" ht="12.75" customHeight="1" x14ac:dyDescent="0.4">
      <c r="F315" s="40"/>
    </row>
    <row r="316" spans="6:6" ht="12.75" customHeight="1" x14ac:dyDescent="0.4">
      <c r="F316" s="40"/>
    </row>
    <row r="317" spans="6:6" ht="12.75" customHeight="1" x14ac:dyDescent="0.4">
      <c r="F317" s="40"/>
    </row>
    <row r="318" spans="6:6" ht="12.75" customHeight="1" x14ac:dyDescent="0.4">
      <c r="F318" s="40"/>
    </row>
    <row r="319" spans="6:6" ht="12.75" customHeight="1" x14ac:dyDescent="0.4">
      <c r="F319" s="40"/>
    </row>
    <row r="320" spans="6:6" ht="12.75" customHeight="1" x14ac:dyDescent="0.4">
      <c r="F320" s="40"/>
    </row>
    <row r="321" spans="6:6" ht="12.75" customHeight="1" x14ac:dyDescent="0.4">
      <c r="F321" s="40"/>
    </row>
    <row r="322" spans="6:6" ht="12.75" customHeight="1" x14ac:dyDescent="0.4">
      <c r="F322" s="40"/>
    </row>
    <row r="323" spans="6:6" ht="12.75" customHeight="1" x14ac:dyDescent="0.4">
      <c r="F323" s="40"/>
    </row>
    <row r="324" spans="6:6" ht="12.75" customHeight="1" x14ac:dyDescent="0.4">
      <c r="F324" s="40"/>
    </row>
    <row r="325" spans="6:6" ht="12.75" customHeight="1" x14ac:dyDescent="0.4">
      <c r="F325" s="40"/>
    </row>
    <row r="326" spans="6:6" ht="12.75" customHeight="1" x14ac:dyDescent="0.4">
      <c r="F326" s="40"/>
    </row>
    <row r="327" spans="6:6" ht="12.75" customHeight="1" x14ac:dyDescent="0.4">
      <c r="F327" s="40"/>
    </row>
    <row r="328" spans="6:6" ht="12.75" customHeight="1" x14ac:dyDescent="0.4">
      <c r="F328" s="40"/>
    </row>
    <row r="329" spans="6:6" ht="12.75" customHeight="1" x14ac:dyDescent="0.4">
      <c r="F329" s="40"/>
    </row>
    <row r="330" spans="6:6" ht="12.75" customHeight="1" x14ac:dyDescent="0.4">
      <c r="F330" s="40"/>
    </row>
    <row r="331" spans="6:6" ht="12.75" customHeight="1" x14ac:dyDescent="0.4">
      <c r="F331" s="40"/>
    </row>
    <row r="332" spans="6:6" ht="12.75" customHeight="1" x14ac:dyDescent="0.4">
      <c r="F332" s="40"/>
    </row>
    <row r="333" spans="6:6" ht="12.75" customHeight="1" x14ac:dyDescent="0.4">
      <c r="F333" s="40"/>
    </row>
    <row r="334" spans="6:6" ht="12.75" customHeight="1" x14ac:dyDescent="0.4">
      <c r="F334" s="40"/>
    </row>
    <row r="335" spans="6:6" ht="12.75" customHeight="1" x14ac:dyDescent="0.4">
      <c r="F335" s="40"/>
    </row>
    <row r="336" spans="6:6" ht="12.75" customHeight="1" x14ac:dyDescent="0.4">
      <c r="F336" s="40"/>
    </row>
    <row r="337" spans="6:6" ht="12.75" customHeight="1" x14ac:dyDescent="0.4">
      <c r="F337" s="40"/>
    </row>
    <row r="338" spans="6:6" ht="12.75" customHeight="1" x14ac:dyDescent="0.4">
      <c r="F338" s="40"/>
    </row>
    <row r="339" spans="6:6" ht="12.75" customHeight="1" x14ac:dyDescent="0.4">
      <c r="F339" s="40"/>
    </row>
    <row r="340" spans="6:6" ht="12.75" customHeight="1" x14ac:dyDescent="0.4">
      <c r="F340" s="40"/>
    </row>
    <row r="341" spans="6:6" ht="12.75" customHeight="1" x14ac:dyDescent="0.4">
      <c r="F341" s="40"/>
    </row>
    <row r="342" spans="6:6" ht="12.75" customHeight="1" x14ac:dyDescent="0.4">
      <c r="F342" s="40"/>
    </row>
    <row r="343" spans="6:6" ht="12.75" customHeight="1" x14ac:dyDescent="0.4">
      <c r="F343" s="40"/>
    </row>
    <row r="344" spans="6:6" ht="12.75" customHeight="1" x14ac:dyDescent="0.4">
      <c r="F344" s="40"/>
    </row>
    <row r="345" spans="6:6" ht="12.75" customHeight="1" x14ac:dyDescent="0.4">
      <c r="F345" s="40"/>
    </row>
    <row r="346" spans="6:6" ht="12.75" customHeight="1" x14ac:dyDescent="0.4">
      <c r="F346" s="40"/>
    </row>
    <row r="347" spans="6:6" ht="12.75" customHeight="1" x14ac:dyDescent="0.4">
      <c r="F347" s="40"/>
    </row>
    <row r="348" spans="6:6" ht="12.75" customHeight="1" x14ac:dyDescent="0.4">
      <c r="F348" s="40"/>
    </row>
    <row r="349" spans="6:6" ht="12.75" customHeight="1" x14ac:dyDescent="0.4">
      <c r="F349" s="40"/>
    </row>
    <row r="350" spans="6:6" ht="12.75" customHeight="1" x14ac:dyDescent="0.4">
      <c r="F350" s="40"/>
    </row>
    <row r="351" spans="6:6" ht="12.75" customHeight="1" x14ac:dyDescent="0.4">
      <c r="F351" s="40"/>
    </row>
    <row r="352" spans="6:6" ht="12.75" customHeight="1" x14ac:dyDescent="0.4">
      <c r="F352" s="40"/>
    </row>
    <row r="353" spans="6:6" ht="12.75" customHeight="1" x14ac:dyDescent="0.4">
      <c r="F353" s="40"/>
    </row>
    <row r="354" spans="6:6" ht="12.75" customHeight="1" x14ac:dyDescent="0.4">
      <c r="F354" s="40"/>
    </row>
    <row r="355" spans="6:6" ht="12.75" customHeight="1" x14ac:dyDescent="0.4">
      <c r="F355" s="40"/>
    </row>
    <row r="356" spans="6:6" ht="12.75" customHeight="1" x14ac:dyDescent="0.4">
      <c r="F356" s="40"/>
    </row>
    <row r="357" spans="6:6" ht="12.75" customHeight="1" x14ac:dyDescent="0.4">
      <c r="F357" s="40"/>
    </row>
    <row r="358" spans="6:6" ht="12.75" customHeight="1" x14ac:dyDescent="0.4">
      <c r="F358" s="40"/>
    </row>
    <row r="359" spans="6:6" ht="12.75" customHeight="1" x14ac:dyDescent="0.4">
      <c r="F359" s="40"/>
    </row>
    <row r="360" spans="6:6" ht="12.75" customHeight="1" x14ac:dyDescent="0.4">
      <c r="F360" s="40"/>
    </row>
    <row r="361" spans="6:6" ht="12.75" customHeight="1" x14ac:dyDescent="0.4">
      <c r="F361" s="40"/>
    </row>
    <row r="362" spans="6:6" ht="12.75" customHeight="1" x14ac:dyDescent="0.4">
      <c r="F362" s="40"/>
    </row>
    <row r="363" spans="6:6" ht="12.75" customHeight="1" x14ac:dyDescent="0.4">
      <c r="F363" s="40"/>
    </row>
    <row r="364" spans="6:6" ht="12.75" customHeight="1" x14ac:dyDescent="0.4">
      <c r="F364" s="40"/>
    </row>
    <row r="365" spans="6:6" ht="12.75" customHeight="1" x14ac:dyDescent="0.4">
      <c r="F365" s="40"/>
    </row>
    <row r="366" spans="6:6" ht="12.75" customHeight="1" x14ac:dyDescent="0.4">
      <c r="F366" s="40"/>
    </row>
    <row r="367" spans="6:6" ht="12.75" customHeight="1" x14ac:dyDescent="0.4">
      <c r="F367" s="40"/>
    </row>
    <row r="368" spans="6:6" ht="12.75" customHeight="1" x14ac:dyDescent="0.4">
      <c r="F368" s="40"/>
    </row>
    <row r="369" spans="6:6" ht="12.75" customHeight="1" x14ac:dyDescent="0.4">
      <c r="F369" s="40"/>
    </row>
    <row r="370" spans="6:6" ht="12.75" customHeight="1" x14ac:dyDescent="0.4">
      <c r="F370" s="40"/>
    </row>
    <row r="371" spans="6:6" ht="12.75" customHeight="1" x14ac:dyDescent="0.4">
      <c r="F371" s="40"/>
    </row>
    <row r="372" spans="6:6" ht="12.75" customHeight="1" x14ac:dyDescent="0.4">
      <c r="F372" s="40"/>
    </row>
    <row r="373" spans="6:6" ht="12.75" customHeight="1" x14ac:dyDescent="0.4">
      <c r="F373" s="40"/>
    </row>
    <row r="374" spans="6:6" ht="12.75" customHeight="1" x14ac:dyDescent="0.4">
      <c r="F374" s="40"/>
    </row>
    <row r="375" spans="6:6" ht="12.75" customHeight="1" x14ac:dyDescent="0.4">
      <c r="F375" s="40"/>
    </row>
    <row r="376" spans="6:6" ht="12.75" customHeight="1" x14ac:dyDescent="0.4">
      <c r="F376" s="40"/>
    </row>
    <row r="377" spans="6:6" ht="12.75" customHeight="1" x14ac:dyDescent="0.4">
      <c r="F377" s="40"/>
    </row>
    <row r="378" spans="6:6" ht="12.75" customHeight="1" x14ac:dyDescent="0.4">
      <c r="F378" s="40"/>
    </row>
    <row r="379" spans="6:6" ht="12.75" customHeight="1" x14ac:dyDescent="0.4">
      <c r="F379" s="40"/>
    </row>
    <row r="380" spans="6:6" ht="12.75" customHeight="1" x14ac:dyDescent="0.4">
      <c r="F380" s="40"/>
    </row>
    <row r="381" spans="6:6" ht="12.75" customHeight="1" x14ac:dyDescent="0.4">
      <c r="F381" s="40"/>
    </row>
    <row r="382" spans="6:6" ht="12.75" customHeight="1" x14ac:dyDescent="0.4">
      <c r="F382" s="40"/>
    </row>
    <row r="383" spans="6:6" ht="12.75" customHeight="1" x14ac:dyDescent="0.4">
      <c r="F383" s="40"/>
    </row>
    <row r="384" spans="6:6" ht="12.75" customHeight="1" x14ac:dyDescent="0.4">
      <c r="F384" s="40"/>
    </row>
    <row r="385" spans="6:6" ht="12.75" customHeight="1" x14ac:dyDescent="0.4">
      <c r="F385" s="40"/>
    </row>
    <row r="386" spans="6:6" ht="12.75" customHeight="1" x14ac:dyDescent="0.4">
      <c r="F386" s="40"/>
    </row>
    <row r="387" spans="6:6" ht="12.75" customHeight="1" x14ac:dyDescent="0.4">
      <c r="F387" s="40"/>
    </row>
    <row r="388" spans="6:6" ht="12.75" customHeight="1" x14ac:dyDescent="0.4">
      <c r="F388" s="40"/>
    </row>
    <row r="389" spans="6:6" ht="12.75" customHeight="1" x14ac:dyDescent="0.4">
      <c r="F389" s="40"/>
    </row>
    <row r="390" spans="6:6" ht="12.75" customHeight="1" x14ac:dyDescent="0.4">
      <c r="F390" s="40"/>
    </row>
    <row r="391" spans="6:6" ht="12.75" customHeight="1" x14ac:dyDescent="0.4">
      <c r="F391" s="40"/>
    </row>
    <row r="392" spans="6:6" ht="12.75" customHeight="1" x14ac:dyDescent="0.4">
      <c r="F392" s="40"/>
    </row>
    <row r="393" spans="6:6" ht="12.75" customHeight="1" x14ac:dyDescent="0.4">
      <c r="F393" s="40"/>
    </row>
    <row r="394" spans="6:6" ht="12.75" customHeight="1" x14ac:dyDescent="0.4">
      <c r="F394" s="40"/>
    </row>
    <row r="395" spans="6:6" ht="12.75" customHeight="1" x14ac:dyDescent="0.4">
      <c r="F395" s="40"/>
    </row>
    <row r="396" spans="6:6" ht="12.75" customHeight="1" x14ac:dyDescent="0.4">
      <c r="F396" s="40"/>
    </row>
    <row r="397" spans="6:6" ht="12.75" customHeight="1" x14ac:dyDescent="0.4">
      <c r="F397" s="40"/>
    </row>
    <row r="398" spans="6:6" ht="12.75" customHeight="1" x14ac:dyDescent="0.4">
      <c r="F398" s="40"/>
    </row>
    <row r="399" spans="6:6" ht="12.75" customHeight="1" x14ac:dyDescent="0.4">
      <c r="F399" s="40"/>
    </row>
    <row r="400" spans="6:6" ht="12.75" customHeight="1" x14ac:dyDescent="0.4">
      <c r="F400" s="40"/>
    </row>
    <row r="401" spans="6:6" ht="12.75" customHeight="1" x14ac:dyDescent="0.4">
      <c r="F401" s="40"/>
    </row>
    <row r="402" spans="6:6" ht="12.75" customHeight="1" x14ac:dyDescent="0.4">
      <c r="F402" s="40"/>
    </row>
    <row r="403" spans="6:6" ht="12.75" customHeight="1" x14ac:dyDescent="0.4">
      <c r="F403" s="40"/>
    </row>
    <row r="404" spans="6:6" ht="12.75" customHeight="1" x14ac:dyDescent="0.4">
      <c r="F404" s="40"/>
    </row>
    <row r="405" spans="6:6" ht="12.75" customHeight="1" x14ac:dyDescent="0.4">
      <c r="F405" s="40"/>
    </row>
    <row r="406" spans="6:6" ht="12.75" customHeight="1" x14ac:dyDescent="0.4">
      <c r="F406" s="40"/>
    </row>
    <row r="407" spans="6:6" ht="12.75" customHeight="1" x14ac:dyDescent="0.4">
      <c r="F407" s="40"/>
    </row>
    <row r="408" spans="6:6" ht="12.75" customHeight="1" x14ac:dyDescent="0.4">
      <c r="F408" s="40"/>
    </row>
    <row r="409" spans="6:6" ht="12.75" customHeight="1" x14ac:dyDescent="0.4">
      <c r="F409" s="40"/>
    </row>
    <row r="410" spans="6:6" ht="12.75" customHeight="1" x14ac:dyDescent="0.4">
      <c r="F410" s="40"/>
    </row>
    <row r="411" spans="6:6" ht="12.75" customHeight="1" x14ac:dyDescent="0.4">
      <c r="F411" s="40"/>
    </row>
    <row r="412" spans="6:6" ht="12.75" customHeight="1" x14ac:dyDescent="0.4">
      <c r="F412" s="40"/>
    </row>
    <row r="413" spans="6:6" ht="12.75" customHeight="1" x14ac:dyDescent="0.4">
      <c r="F413" s="40"/>
    </row>
    <row r="414" spans="6:6" ht="12.75" customHeight="1" x14ac:dyDescent="0.4">
      <c r="F414" s="40"/>
    </row>
    <row r="415" spans="6:6" ht="12.75" customHeight="1" x14ac:dyDescent="0.4">
      <c r="F415" s="40"/>
    </row>
    <row r="416" spans="6:6" ht="12.75" customHeight="1" x14ac:dyDescent="0.4">
      <c r="F416" s="40"/>
    </row>
    <row r="417" spans="6:6" ht="12.75" customHeight="1" x14ac:dyDescent="0.4">
      <c r="F417" s="40"/>
    </row>
    <row r="418" spans="6:6" ht="12.75" customHeight="1" x14ac:dyDescent="0.4">
      <c r="F418" s="40"/>
    </row>
    <row r="419" spans="6:6" ht="12.75" customHeight="1" x14ac:dyDescent="0.4">
      <c r="F419" s="40"/>
    </row>
    <row r="420" spans="6:6" ht="12.75" customHeight="1" x14ac:dyDescent="0.4">
      <c r="F420" s="40"/>
    </row>
    <row r="421" spans="6:6" ht="12.75" customHeight="1" x14ac:dyDescent="0.4">
      <c r="F421" s="40"/>
    </row>
    <row r="422" spans="6:6" ht="12.75" customHeight="1" x14ac:dyDescent="0.4">
      <c r="F422" s="40"/>
    </row>
    <row r="423" spans="6:6" ht="12.75" customHeight="1" x14ac:dyDescent="0.4">
      <c r="F423" s="40"/>
    </row>
    <row r="424" spans="6:6" ht="12.75" customHeight="1" x14ac:dyDescent="0.4">
      <c r="F424" s="40"/>
    </row>
    <row r="425" spans="6:6" ht="12.75" customHeight="1" x14ac:dyDescent="0.4">
      <c r="F425" s="40"/>
    </row>
    <row r="426" spans="6:6" ht="12.75" customHeight="1" x14ac:dyDescent="0.4">
      <c r="F426" s="40"/>
    </row>
    <row r="427" spans="6:6" ht="12.75" customHeight="1" x14ac:dyDescent="0.4">
      <c r="F427" s="40"/>
    </row>
    <row r="428" spans="6:6" ht="12.75" customHeight="1" x14ac:dyDescent="0.4">
      <c r="F428" s="40"/>
    </row>
    <row r="429" spans="6:6" ht="12.75" customHeight="1" x14ac:dyDescent="0.4">
      <c r="F429" s="40"/>
    </row>
    <row r="430" spans="6:6" ht="12.75" customHeight="1" x14ac:dyDescent="0.4">
      <c r="F430" s="40"/>
    </row>
    <row r="431" spans="6:6" ht="12.75" customHeight="1" x14ac:dyDescent="0.4">
      <c r="F431" s="40"/>
    </row>
    <row r="432" spans="6:6" ht="12.75" customHeight="1" x14ac:dyDescent="0.4">
      <c r="F432" s="40"/>
    </row>
    <row r="433" spans="6:6" ht="12.75" customHeight="1" x14ac:dyDescent="0.4">
      <c r="F433" s="40"/>
    </row>
    <row r="434" spans="6:6" ht="12.75" customHeight="1" x14ac:dyDescent="0.4">
      <c r="F434" s="40"/>
    </row>
    <row r="435" spans="6:6" ht="12.75" customHeight="1" x14ac:dyDescent="0.4">
      <c r="F435" s="40"/>
    </row>
    <row r="436" spans="6:6" ht="12.75" customHeight="1" x14ac:dyDescent="0.4">
      <c r="F436" s="40"/>
    </row>
    <row r="437" spans="6:6" ht="12.75" customHeight="1" x14ac:dyDescent="0.4">
      <c r="F437" s="40"/>
    </row>
    <row r="438" spans="6:6" ht="12.75" customHeight="1" x14ac:dyDescent="0.4">
      <c r="F438" s="40"/>
    </row>
    <row r="439" spans="6:6" ht="12.75" customHeight="1" x14ac:dyDescent="0.4">
      <c r="F439" s="40"/>
    </row>
    <row r="440" spans="6:6" ht="12.75" customHeight="1" x14ac:dyDescent="0.4">
      <c r="F440" s="40"/>
    </row>
    <row r="441" spans="6:6" ht="12.75" customHeight="1" x14ac:dyDescent="0.4">
      <c r="F441" s="40"/>
    </row>
    <row r="442" spans="6:6" ht="12.75" customHeight="1" x14ac:dyDescent="0.4">
      <c r="F442" s="40"/>
    </row>
    <row r="443" spans="6:6" ht="12.75" customHeight="1" x14ac:dyDescent="0.4">
      <c r="F443" s="40"/>
    </row>
    <row r="444" spans="6:6" ht="12.75" customHeight="1" x14ac:dyDescent="0.4">
      <c r="F444" s="40"/>
    </row>
    <row r="445" spans="6:6" ht="12.75" customHeight="1" x14ac:dyDescent="0.4">
      <c r="F445" s="40"/>
    </row>
    <row r="446" spans="6:6" ht="12.75" customHeight="1" x14ac:dyDescent="0.4">
      <c r="F446" s="40"/>
    </row>
    <row r="447" spans="6:6" ht="12.75" customHeight="1" x14ac:dyDescent="0.4">
      <c r="F447" s="40"/>
    </row>
    <row r="448" spans="6:6" ht="12.75" customHeight="1" x14ac:dyDescent="0.4">
      <c r="F448" s="40"/>
    </row>
    <row r="449" spans="6:6" ht="12.75" customHeight="1" x14ac:dyDescent="0.4">
      <c r="F449" s="40"/>
    </row>
    <row r="450" spans="6:6" ht="12.75" customHeight="1" x14ac:dyDescent="0.4">
      <c r="F450" s="40"/>
    </row>
    <row r="451" spans="6:6" ht="12.75" customHeight="1" x14ac:dyDescent="0.4">
      <c r="F451" s="40"/>
    </row>
    <row r="452" spans="6:6" ht="12.75" customHeight="1" x14ac:dyDescent="0.4">
      <c r="F452" s="40"/>
    </row>
    <row r="453" spans="6:6" ht="12.75" customHeight="1" x14ac:dyDescent="0.4">
      <c r="F453" s="40"/>
    </row>
    <row r="454" spans="6:6" ht="12.75" customHeight="1" x14ac:dyDescent="0.4">
      <c r="F454" s="40"/>
    </row>
    <row r="455" spans="6:6" ht="12.75" customHeight="1" x14ac:dyDescent="0.4">
      <c r="F455" s="40"/>
    </row>
    <row r="456" spans="6:6" ht="12.75" customHeight="1" x14ac:dyDescent="0.4">
      <c r="F456" s="40"/>
    </row>
    <row r="457" spans="6:6" ht="12.75" customHeight="1" x14ac:dyDescent="0.4">
      <c r="F457" s="40"/>
    </row>
    <row r="458" spans="6:6" ht="12.75" customHeight="1" x14ac:dyDescent="0.4">
      <c r="F458" s="40"/>
    </row>
    <row r="459" spans="6:6" ht="12.75" customHeight="1" x14ac:dyDescent="0.4">
      <c r="F459" s="40"/>
    </row>
    <row r="460" spans="6:6" ht="12.75" customHeight="1" x14ac:dyDescent="0.4">
      <c r="F460" s="40"/>
    </row>
    <row r="461" spans="6:6" ht="12.75" customHeight="1" x14ac:dyDescent="0.4">
      <c r="F461" s="40"/>
    </row>
    <row r="462" spans="6:6" ht="12.75" customHeight="1" x14ac:dyDescent="0.4">
      <c r="F462" s="40"/>
    </row>
    <row r="463" spans="6:6" ht="12.75" customHeight="1" x14ac:dyDescent="0.4">
      <c r="F463" s="40"/>
    </row>
    <row r="464" spans="6:6" ht="12.75" customHeight="1" x14ac:dyDescent="0.4">
      <c r="F464" s="40"/>
    </row>
    <row r="465" spans="6:6" ht="12.75" customHeight="1" x14ac:dyDescent="0.4">
      <c r="F465" s="40"/>
    </row>
    <row r="466" spans="6:6" ht="12.75" customHeight="1" x14ac:dyDescent="0.4">
      <c r="F466" s="40"/>
    </row>
    <row r="467" spans="6:6" ht="12.75" customHeight="1" x14ac:dyDescent="0.4">
      <c r="F467" s="40"/>
    </row>
    <row r="468" spans="6:6" ht="12.75" customHeight="1" x14ac:dyDescent="0.4">
      <c r="F468" s="40"/>
    </row>
    <row r="469" spans="6:6" ht="12.75" customHeight="1" x14ac:dyDescent="0.4">
      <c r="F469" s="40"/>
    </row>
    <row r="470" spans="6:6" ht="12.75" customHeight="1" x14ac:dyDescent="0.4">
      <c r="F470" s="40"/>
    </row>
    <row r="471" spans="6:6" ht="12.75" customHeight="1" x14ac:dyDescent="0.4">
      <c r="F471" s="40"/>
    </row>
    <row r="472" spans="6:6" ht="12.75" customHeight="1" x14ac:dyDescent="0.4">
      <c r="F472" s="40"/>
    </row>
    <row r="473" spans="6:6" ht="12.75" customHeight="1" x14ac:dyDescent="0.4">
      <c r="F473" s="40"/>
    </row>
    <row r="474" spans="6:6" ht="12.75" customHeight="1" x14ac:dyDescent="0.4">
      <c r="F474" s="40"/>
    </row>
    <row r="475" spans="6:6" ht="12.75" customHeight="1" x14ac:dyDescent="0.4">
      <c r="F475" s="40"/>
    </row>
    <row r="476" spans="6:6" ht="12.75" customHeight="1" x14ac:dyDescent="0.4">
      <c r="F476" s="40"/>
    </row>
    <row r="477" spans="6:6" ht="12.75" customHeight="1" x14ac:dyDescent="0.4">
      <c r="F477" s="40"/>
    </row>
    <row r="478" spans="6:6" ht="12.75" customHeight="1" x14ac:dyDescent="0.4">
      <c r="F478" s="40"/>
    </row>
    <row r="479" spans="6:6" ht="12.75" customHeight="1" x14ac:dyDescent="0.4">
      <c r="F479" s="40"/>
    </row>
    <row r="480" spans="6:6" ht="12.75" customHeight="1" x14ac:dyDescent="0.4">
      <c r="F480" s="40"/>
    </row>
    <row r="481" spans="6:6" ht="12.75" customHeight="1" x14ac:dyDescent="0.4">
      <c r="F481" s="40"/>
    </row>
    <row r="482" spans="6:6" ht="12.75" customHeight="1" x14ac:dyDescent="0.4">
      <c r="F482" s="40"/>
    </row>
    <row r="483" spans="6:6" ht="12.75" customHeight="1" x14ac:dyDescent="0.4">
      <c r="F483" s="40"/>
    </row>
    <row r="484" spans="6:6" ht="12.75" customHeight="1" x14ac:dyDescent="0.4">
      <c r="F484" s="40"/>
    </row>
    <row r="485" spans="6:6" ht="12.75" customHeight="1" x14ac:dyDescent="0.4">
      <c r="F485" s="40"/>
    </row>
    <row r="486" spans="6:6" ht="12.75" customHeight="1" x14ac:dyDescent="0.4">
      <c r="F486" s="40"/>
    </row>
    <row r="487" spans="6:6" ht="12.75" customHeight="1" x14ac:dyDescent="0.4">
      <c r="F487" s="40"/>
    </row>
    <row r="488" spans="6:6" ht="12.75" customHeight="1" x14ac:dyDescent="0.4">
      <c r="F488" s="40"/>
    </row>
    <row r="489" spans="6:6" ht="12.75" customHeight="1" x14ac:dyDescent="0.4">
      <c r="F489" s="40"/>
    </row>
    <row r="490" spans="6:6" ht="12.75" customHeight="1" x14ac:dyDescent="0.4">
      <c r="F490" s="40"/>
    </row>
    <row r="491" spans="6:6" ht="12.75" customHeight="1" x14ac:dyDescent="0.4">
      <c r="F491" s="40"/>
    </row>
    <row r="492" spans="6:6" ht="12.75" customHeight="1" x14ac:dyDescent="0.4">
      <c r="F492" s="40"/>
    </row>
    <row r="493" spans="6:6" ht="12.75" customHeight="1" x14ac:dyDescent="0.4">
      <c r="F493" s="40"/>
    </row>
    <row r="494" spans="6:6" ht="12.75" customHeight="1" x14ac:dyDescent="0.4">
      <c r="F494" s="40"/>
    </row>
    <row r="495" spans="6:6" ht="12.75" customHeight="1" x14ac:dyDescent="0.4">
      <c r="F495" s="40"/>
    </row>
    <row r="496" spans="6:6" ht="12.75" customHeight="1" x14ac:dyDescent="0.4">
      <c r="F496" s="40"/>
    </row>
    <row r="497" spans="6:6" ht="12.75" customHeight="1" x14ac:dyDescent="0.4">
      <c r="F497" s="40"/>
    </row>
    <row r="498" spans="6:6" ht="12.75" customHeight="1" x14ac:dyDescent="0.4">
      <c r="F498" s="40"/>
    </row>
    <row r="499" spans="6:6" ht="12.75" customHeight="1" x14ac:dyDescent="0.4">
      <c r="F499" s="40"/>
    </row>
    <row r="500" spans="6:6" ht="12.75" customHeight="1" x14ac:dyDescent="0.4">
      <c r="F500" s="40"/>
    </row>
    <row r="501" spans="6:6" ht="12.75" customHeight="1" x14ac:dyDescent="0.4">
      <c r="F501" s="40"/>
    </row>
    <row r="502" spans="6:6" ht="12.75" customHeight="1" x14ac:dyDescent="0.4">
      <c r="F502" s="40"/>
    </row>
    <row r="503" spans="6:6" ht="12.75" customHeight="1" x14ac:dyDescent="0.4">
      <c r="F503" s="40"/>
    </row>
    <row r="504" spans="6:6" ht="12.75" customHeight="1" x14ac:dyDescent="0.4">
      <c r="F504" s="40"/>
    </row>
    <row r="505" spans="6:6" ht="12.75" customHeight="1" x14ac:dyDescent="0.4">
      <c r="F505" s="40"/>
    </row>
    <row r="506" spans="6:6" ht="12.75" customHeight="1" x14ac:dyDescent="0.4">
      <c r="F506" s="40"/>
    </row>
    <row r="507" spans="6:6" ht="12.75" customHeight="1" x14ac:dyDescent="0.4">
      <c r="F507" s="40"/>
    </row>
    <row r="508" spans="6:6" ht="12.75" customHeight="1" x14ac:dyDescent="0.4">
      <c r="F508" s="40"/>
    </row>
    <row r="509" spans="6:6" ht="12.75" customHeight="1" x14ac:dyDescent="0.4">
      <c r="F509" s="40"/>
    </row>
    <row r="510" spans="6:6" ht="12.75" customHeight="1" x14ac:dyDescent="0.4">
      <c r="F510" s="40"/>
    </row>
    <row r="511" spans="6:6" ht="12.75" customHeight="1" x14ac:dyDescent="0.4">
      <c r="F511" s="40"/>
    </row>
    <row r="512" spans="6:6" ht="12.75" customHeight="1" x14ac:dyDescent="0.4">
      <c r="F512" s="40"/>
    </row>
    <row r="513" spans="6:6" ht="12.75" customHeight="1" x14ac:dyDescent="0.4">
      <c r="F513" s="40"/>
    </row>
    <row r="514" spans="6:6" ht="12.75" customHeight="1" x14ac:dyDescent="0.4">
      <c r="F514" s="40"/>
    </row>
    <row r="515" spans="6:6" ht="12.75" customHeight="1" x14ac:dyDescent="0.4">
      <c r="F515" s="40"/>
    </row>
    <row r="516" spans="6:6" ht="12.75" customHeight="1" x14ac:dyDescent="0.4">
      <c r="F516" s="40"/>
    </row>
    <row r="517" spans="6:6" ht="12.75" customHeight="1" x14ac:dyDescent="0.4">
      <c r="F517" s="40"/>
    </row>
    <row r="518" spans="6:6" ht="12.75" customHeight="1" x14ac:dyDescent="0.4">
      <c r="F518" s="40"/>
    </row>
    <row r="519" spans="6:6" ht="12.75" customHeight="1" x14ac:dyDescent="0.4">
      <c r="F519" s="40"/>
    </row>
    <row r="520" spans="6:6" ht="12.75" customHeight="1" x14ac:dyDescent="0.4">
      <c r="F520" s="40"/>
    </row>
    <row r="521" spans="6:6" ht="12.75" customHeight="1" x14ac:dyDescent="0.4">
      <c r="F521" s="40"/>
    </row>
    <row r="522" spans="6:6" ht="12.75" customHeight="1" x14ac:dyDescent="0.4">
      <c r="F522" s="40"/>
    </row>
    <row r="523" spans="6:6" ht="12.75" customHeight="1" x14ac:dyDescent="0.4">
      <c r="F523" s="40"/>
    </row>
    <row r="524" spans="6:6" ht="12.75" customHeight="1" x14ac:dyDescent="0.4">
      <c r="F524" s="40"/>
    </row>
    <row r="525" spans="6:6" ht="12.75" customHeight="1" x14ac:dyDescent="0.4">
      <c r="F525" s="40"/>
    </row>
    <row r="526" spans="6:6" ht="12.75" customHeight="1" x14ac:dyDescent="0.4">
      <c r="F526" s="40"/>
    </row>
    <row r="527" spans="6:6" ht="12.75" customHeight="1" x14ac:dyDescent="0.4">
      <c r="F527" s="40"/>
    </row>
    <row r="528" spans="6:6" ht="12.75" customHeight="1" x14ac:dyDescent="0.4">
      <c r="F528" s="40"/>
    </row>
    <row r="529" spans="6:6" ht="12.75" customHeight="1" x14ac:dyDescent="0.4">
      <c r="F529" s="40"/>
    </row>
    <row r="530" spans="6:6" ht="12.75" customHeight="1" x14ac:dyDescent="0.4">
      <c r="F530" s="40"/>
    </row>
    <row r="531" spans="6:6" ht="12.75" customHeight="1" x14ac:dyDescent="0.4">
      <c r="F531" s="40"/>
    </row>
    <row r="532" spans="6:6" ht="12.75" customHeight="1" x14ac:dyDescent="0.4">
      <c r="F532" s="40"/>
    </row>
    <row r="533" spans="6:6" ht="12.75" customHeight="1" x14ac:dyDescent="0.4">
      <c r="F533" s="40"/>
    </row>
    <row r="534" spans="6:6" ht="12.75" customHeight="1" x14ac:dyDescent="0.4">
      <c r="F534" s="40"/>
    </row>
    <row r="535" spans="6:6" ht="12.75" customHeight="1" x14ac:dyDescent="0.4">
      <c r="F535" s="40"/>
    </row>
    <row r="536" spans="6:6" ht="12.75" customHeight="1" x14ac:dyDescent="0.4">
      <c r="F536" s="40"/>
    </row>
    <row r="537" spans="6:6" ht="12.75" customHeight="1" x14ac:dyDescent="0.4">
      <c r="F537" s="40"/>
    </row>
    <row r="538" spans="6:6" ht="12.75" customHeight="1" x14ac:dyDescent="0.4">
      <c r="F538" s="40"/>
    </row>
    <row r="539" spans="6:6" ht="12.75" customHeight="1" x14ac:dyDescent="0.4">
      <c r="F539" s="40"/>
    </row>
    <row r="540" spans="6:6" ht="12.75" customHeight="1" x14ac:dyDescent="0.4">
      <c r="F540" s="40"/>
    </row>
    <row r="541" spans="6:6" ht="12.75" customHeight="1" x14ac:dyDescent="0.4">
      <c r="F541" s="40"/>
    </row>
    <row r="542" spans="6:6" ht="12.75" customHeight="1" x14ac:dyDescent="0.4">
      <c r="F542" s="40"/>
    </row>
    <row r="543" spans="6:6" ht="12.75" customHeight="1" x14ac:dyDescent="0.4">
      <c r="F543" s="40"/>
    </row>
    <row r="544" spans="6:6" ht="12.75" customHeight="1" x14ac:dyDescent="0.4">
      <c r="F544" s="40"/>
    </row>
    <row r="545" spans="6:6" ht="12.75" customHeight="1" x14ac:dyDescent="0.4">
      <c r="F545" s="40"/>
    </row>
    <row r="546" spans="6:6" ht="12.75" customHeight="1" x14ac:dyDescent="0.4">
      <c r="F546" s="40"/>
    </row>
    <row r="547" spans="6:6" ht="12.75" customHeight="1" x14ac:dyDescent="0.4">
      <c r="F547" s="40"/>
    </row>
    <row r="548" spans="6:6" ht="12.75" customHeight="1" x14ac:dyDescent="0.4">
      <c r="F548" s="40"/>
    </row>
    <row r="549" spans="6:6" ht="12.75" customHeight="1" x14ac:dyDescent="0.4">
      <c r="F549" s="40"/>
    </row>
    <row r="550" spans="6:6" ht="12.75" customHeight="1" x14ac:dyDescent="0.4">
      <c r="F550" s="40"/>
    </row>
    <row r="551" spans="6:6" ht="12.75" customHeight="1" x14ac:dyDescent="0.4">
      <c r="F551" s="40"/>
    </row>
    <row r="552" spans="6:6" ht="12.75" customHeight="1" x14ac:dyDescent="0.4">
      <c r="F552" s="40"/>
    </row>
    <row r="553" spans="6:6" ht="12.75" customHeight="1" x14ac:dyDescent="0.4">
      <c r="F553" s="40"/>
    </row>
    <row r="554" spans="6:6" ht="12.75" customHeight="1" x14ac:dyDescent="0.4">
      <c r="F554" s="40"/>
    </row>
    <row r="555" spans="6:6" ht="12.75" customHeight="1" x14ac:dyDescent="0.4">
      <c r="F555" s="40"/>
    </row>
    <row r="556" spans="6:6" ht="12.75" customHeight="1" x14ac:dyDescent="0.4">
      <c r="F556" s="40"/>
    </row>
    <row r="557" spans="6:6" ht="12.75" customHeight="1" x14ac:dyDescent="0.4">
      <c r="F557" s="40"/>
    </row>
    <row r="558" spans="6:6" ht="12.75" customHeight="1" x14ac:dyDescent="0.4">
      <c r="F558" s="40"/>
    </row>
    <row r="559" spans="6:6" ht="12.75" customHeight="1" x14ac:dyDescent="0.4">
      <c r="F559" s="40"/>
    </row>
    <row r="560" spans="6:6" ht="12.75" customHeight="1" x14ac:dyDescent="0.4">
      <c r="F560" s="40"/>
    </row>
    <row r="561" spans="6:6" ht="12.75" customHeight="1" x14ac:dyDescent="0.4">
      <c r="F561" s="40"/>
    </row>
    <row r="562" spans="6:6" ht="12.75" customHeight="1" x14ac:dyDescent="0.4">
      <c r="F562" s="40"/>
    </row>
    <row r="563" spans="6:6" ht="12.75" customHeight="1" x14ac:dyDescent="0.4">
      <c r="F563" s="40"/>
    </row>
    <row r="564" spans="6:6" ht="12.75" customHeight="1" x14ac:dyDescent="0.4">
      <c r="F564" s="40"/>
    </row>
    <row r="565" spans="6:6" ht="12.75" customHeight="1" x14ac:dyDescent="0.4">
      <c r="F565" s="40"/>
    </row>
    <row r="566" spans="6:6" ht="12.75" customHeight="1" x14ac:dyDescent="0.4">
      <c r="F566" s="40"/>
    </row>
    <row r="567" spans="6:6" ht="12.75" customHeight="1" x14ac:dyDescent="0.4">
      <c r="F567" s="40"/>
    </row>
    <row r="568" spans="6:6" ht="12.75" customHeight="1" x14ac:dyDescent="0.4">
      <c r="F568" s="40"/>
    </row>
    <row r="569" spans="6:6" ht="12.75" customHeight="1" x14ac:dyDescent="0.4">
      <c r="F569" s="40"/>
    </row>
    <row r="570" spans="6:6" ht="12.75" customHeight="1" x14ac:dyDescent="0.4">
      <c r="F570" s="40"/>
    </row>
    <row r="571" spans="6:6" ht="12.75" customHeight="1" x14ac:dyDescent="0.4">
      <c r="F571" s="40"/>
    </row>
    <row r="572" spans="6:6" ht="12.75" customHeight="1" x14ac:dyDescent="0.4">
      <c r="F572" s="40"/>
    </row>
    <row r="573" spans="6:6" ht="12.75" customHeight="1" x14ac:dyDescent="0.4">
      <c r="F573" s="40"/>
    </row>
    <row r="574" spans="6:6" ht="12.75" customHeight="1" x14ac:dyDescent="0.4">
      <c r="F574" s="40"/>
    </row>
    <row r="575" spans="6:6" ht="12.75" customHeight="1" x14ac:dyDescent="0.4">
      <c r="F575" s="40"/>
    </row>
    <row r="576" spans="6:6" ht="12.75" customHeight="1" x14ac:dyDescent="0.4">
      <c r="F576" s="40"/>
    </row>
    <row r="577" spans="6:6" ht="12.75" customHeight="1" x14ac:dyDescent="0.4">
      <c r="F577" s="40"/>
    </row>
    <row r="578" spans="6:6" ht="12.75" customHeight="1" x14ac:dyDescent="0.4">
      <c r="F578" s="40"/>
    </row>
    <row r="579" spans="6:6" ht="12.75" customHeight="1" x14ac:dyDescent="0.4">
      <c r="F579" s="40"/>
    </row>
    <row r="580" spans="6:6" ht="12.75" customHeight="1" x14ac:dyDescent="0.4">
      <c r="F580" s="40"/>
    </row>
    <row r="581" spans="6:6" ht="12.75" customHeight="1" x14ac:dyDescent="0.4">
      <c r="F581" s="40"/>
    </row>
    <row r="582" spans="6:6" ht="12.75" customHeight="1" x14ac:dyDescent="0.4">
      <c r="F582" s="40"/>
    </row>
    <row r="583" spans="6:6" ht="12.75" customHeight="1" x14ac:dyDescent="0.4">
      <c r="F583" s="40"/>
    </row>
    <row r="584" spans="6:6" ht="12.75" customHeight="1" x14ac:dyDescent="0.4">
      <c r="F584" s="40"/>
    </row>
    <row r="585" spans="6:6" ht="12.75" customHeight="1" x14ac:dyDescent="0.4">
      <c r="F585" s="40"/>
    </row>
    <row r="586" spans="6:6" ht="12.75" customHeight="1" x14ac:dyDescent="0.4">
      <c r="F586" s="40"/>
    </row>
    <row r="587" spans="6:6" ht="12.75" customHeight="1" x14ac:dyDescent="0.4">
      <c r="F587" s="40"/>
    </row>
    <row r="588" spans="6:6" ht="12.75" customHeight="1" x14ac:dyDescent="0.4">
      <c r="F588" s="40"/>
    </row>
    <row r="589" spans="6:6" ht="12.75" customHeight="1" x14ac:dyDescent="0.4">
      <c r="F589" s="40"/>
    </row>
    <row r="590" spans="6:6" ht="12.75" customHeight="1" x14ac:dyDescent="0.4">
      <c r="F590" s="40"/>
    </row>
    <row r="591" spans="6:6" ht="12.75" customHeight="1" x14ac:dyDescent="0.4">
      <c r="F591" s="40"/>
    </row>
    <row r="592" spans="6:6" ht="12.75" customHeight="1" x14ac:dyDescent="0.4">
      <c r="F592" s="40"/>
    </row>
    <row r="593" spans="6:6" ht="12.75" customHeight="1" x14ac:dyDescent="0.4">
      <c r="F593" s="40"/>
    </row>
    <row r="594" spans="6:6" ht="12.75" customHeight="1" x14ac:dyDescent="0.4">
      <c r="F594" s="40"/>
    </row>
    <row r="595" spans="6:6" ht="12.75" customHeight="1" x14ac:dyDescent="0.4">
      <c r="F595" s="40"/>
    </row>
    <row r="596" spans="6:6" ht="12.75" customHeight="1" x14ac:dyDescent="0.4">
      <c r="F596" s="40"/>
    </row>
    <row r="597" spans="6:6" ht="12.75" customHeight="1" x14ac:dyDescent="0.4">
      <c r="F597" s="40"/>
    </row>
    <row r="598" spans="6:6" ht="12.75" customHeight="1" x14ac:dyDescent="0.4">
      <c r="F598" s="40"/>
    </row>
    <row r="599" spans="6:6" ht="12.75" customHeight="1" x14ac:dyDescent="0.4">
      <c r="F599" s="40"/>
    </row>
    <row r="600" spans="6:6" ht="12.75" customHeight="1" x14ac:dyDescent="0.4">
      <c r="F600" s="40"/>
    </row>
    <row r="601" spans="6:6" ht="12.75" customHeight="1" x14ac:dyDescent="0.4">
      <c r="F601" s="40"/>
    </row>
    <row r="602" spans="6:6" ht="12.75" customHeight="1" x14ac:dyDescent="0.4">
      <c r="F602" s="40"/>
    </row>
    <row r="603" spans="6:6" ht="12.75" customHeight="1" x14ac:dyDescent="0.4">
      <c r="F603" s="40"/>
    </row>
    <row r="604" spans="6:6" ht="12.75" customHeight="1" x14ac:dyDescent="0.4">
      <c r="F604" s="40"/>
    </row>
    <row r="605" spans="6:6" ht="12.75" customHeight="1" x14ac:dyDescent="0.4">
      <c r="F605" s="40"/>
    </row>
    <row r="606" spans="6:6" ht="12.75" customHeight="1" x14ac:dyDescent="0.4">
      <c r="F606" s="40"/>
    </row>
    <row r="607" spans="6:6" ht="12.75" customHeight="1" x14ac:dyDescent="0.4">
      <c r="F607" s="40"/>
    </row>
    <row r="608" spans="6:6" ht="12.75" customHeight="1" x14ac:dyDescent="0.4">
      <c r="F608" s="40"/>
    </row>
    <row r="609" spans="6:6" ht="12.75" customHeight="1" x14ac:dyDescent="0.4">
      <c r="F609" s="40"/>
    </row>
    <row r="610" spans="6:6" ht="12.75" customHeight="1" x14ac:dyDescent="0.4">
      <c r="F610" s="40"/>
    </row>
    <row r="611" spans="6:6" ht="12.75" customHeight="1" x14ac:dyDescent="0.4">
      <c r="F611" s="40"/>
    </row>
    <row r="612" spans="6:6" ht="12.75" customHeight="1" x14ac:dyDescent="0.4">
      <c r="F612" s="40"/>
    </row>
    <row r="613" spans="6:6" ht="12.75" customHeight="1" x14ac:dyDescent="0.4">
      <c r="F613" s="40"/>
    </row>
    <row r="614" spans="6:6" ht="12.75" customHeight="1" x14ac:dyDescent="0.4">
      <c r="F614" s="40"/>
    </row>
    <row r="615" spans="6:6" ht="12.75" customHeight="1" x14ac:dyDescent="0.4">
      <c r="F615" s="40"/>
    </row>
    <row r="616" spans="6:6" ht="12.75" customHeight="1" x14ac:dyDescent="0.4">
      <c r="F616" s="40"/>
    </row>
    <row r="617" spans="6:6" ht="12.75" customHeight="1" x14ac:dyDescent="0.4">
      <c r="F617" s="40"/>
    </row>
    <row r="618" spans="6:6" ht="12.75" customHeight="1" x14ac:dyDescent="0.4">
      <c r="F618" s="40"/>
    </row>
    <row r="619" spans="6:6" ht="12.75" customHeight="1" x14ac:dyDescent="0.4">
      <c r="F619" s="40"/>
    </row>
    <row r="620" spans="6:6" ht="12.75" customHeight="1" x14ac:dyDescent="0.4">
      <c r="F620" s="40"/>
    </row>
    <row r="621" spans="6:6" ht="12.75" customHeight="1" x14ac:dyDescent="0.4">
      <c r="F621" s="40"/>
    </row>
    <row r="622" spans="6:6" ht="12.75" customHeight="1" x14ac:dyDescent="0.4">
      <c r="F622" s="40"/>
    </row>
    <row r="623" spans="6:6" ht="12.75" customHeight="1" x14ac:dyDescent="0.4">
      <c r="F623" s="40"/>
    </row>
    <row r="624" spans="6:6" ht="12.75" customHeight="1" x14ac:dyDescent="0.4">
      <c r="F624" s="40"/>
    </row>
    <row r="625" spans="6:6" ht="12.75" customHeight="1" x14ac:dyDescent="0.4">
      <c r="F625" s="40"/>
    </row>
    <row r="626" spans="6:6" ht="12.75" customHeight="1" x14ac:dyDescent="0.4">
      <c r="F626" s="40"/>
    </row>
    <row r="627" spans="6:6" ht="12.75" customHeight="1" x14ac:dyDescent="0.4">
      <c r="F627" s="40"/>
    </row>
    <row r="628" spans="6:6" ht="12.75" customHeight="1" x14ac:dyDescent="0.4">
      <c r="F628" s="40"/>
    </row>
    <row r="629" spans="6:6" ht="12.75" customHeight="1" x14ac:dyDescent="0.4">
      <c r="F629" s="40"/>
    </row>
    <row r="630" spans="6:6" ht="12.75" customHeight="1" x14ac:dyDescent="0.4">
      <c r="F630" s="40"/>
    </row>
    <row r="631" spans="6:6" ht="12.75" customHeight="1" x14ac:dyDescent="0.4">
      <c r="F631" s="40"/>
    </row>
    <row r="632" spans="6:6" ht="12.75" customHeight="1" x14ac:dyDescent="0.4">
      <c r="F632" s="40"/>
    </row>
    <row r="633" spans="6:6" ht="12.75" customHeight="1" x14ac:dyDescent="0.4">
      <c r="F633" s="40"/>
    </row>
    <row r="634" spans="6:6" ht="12.75" customHeight="1" x14ac:dyDescent="0.4">
      <c r="F634" s="40"/>
    </row>
    <row r="635" spans="6:6" ht="12.75" customHeight="1" x14ac:dyDescent="0.4">
      <c r="F635" s="40"/>
    </row>
    <row r="636" spans="6:6" ht="12.75" customHeight="1" x14ac:dyDescent="0.4">
      <c r="F636" s="40"/>
    </row>
    <row r="637" spans="6:6" ht="12.75" customHeight="1" x14ac:dyDescent="0.4">
      <c r="F637" s="40"/>
    </row>
    <row r="638" spans="6:6" ht="12.75" customHeight="1" x14ac:dyDescent="0.4">
      <c r="F638" s="40"/>
    </row>
    <row r="639" spans="6:6" ht="12.75" customHeight="1" x14ac:dyDescent="0.4">
      <c r="F639" s="40"/>
    </row>
    <row r="640" spans="6:6" ht="12.75" customHeight="1" x14ac:dyDescent="0.4">
      <c r="F640" s="40"/>
    </row>
    <row r="641" spans="6:6" ht="12.75" customHeight="1" x14ac:dyDescent="0.4">
      <c r="F641" s="40"/>
    </row>
    <row r="642" spans="6:6" ht="12.75" customHeight="1" x14ac:dyDescent="0.4">
      <c r="F642" s="40"/>
    </row>
    <row r="643" spans="6:6" ht="12.75" customHeight="1" x14ac:dyDescent="0.4">
      <c r="F643" s="40"/>
    </row>
    <row r="644" spans="6:6" ht="12.75" customHeight="1" x14ac:dyDescent="0.4">
      <c r="F644" s="40"/>
    </row>
    <row r="645" spans="6:6" ht="12.75" customHeight="1" x14ac:dyDescent="0.4">
      <c r="F645" s="40"/>
    </row>
    <row r="646" spans="6:6" ht="12.75" customHeight="1" x14ac:dyDescent="0.4">
      <c r="F646" s="40"/>
    </row>
    <row r="647" spans="6:6" ht="12.75" customHeight="1" x14ac:dyDescent="0.4">
      <c r="F647" s="40"/>
    </row>
    <row r="648" spans="6:6" ht="12.75" customHeight="1" x14ac:dyDescent="0.4">
      <c r="F648" s="40"/>
    </row>
    <row r="649" spans="6:6" ht="12.75" customHeight="1" x14ac:dyDescent="0.4">
      <c r="F649" s="40"/>
    </row>
    <row r="650" spans="6:6" ht="12.75" customHeight="1" x14ac:dyDescent="0.4">
      <c r="F650" s="40"/>
    </row>
    <row r="651" spans="6:6" ht="12.75" customHeight="1" x14ac:dyDescent="0.4">
      <c r="F651" s="40"/>
    </row>
    <row r="652" spans="6:6" ht="12.75" customHeight="1" x14ac:dyDescent="0.4">
      <c r="F652" s="40"/>
    </row>
    <row r="653" spans="6:6" ht="12.75" customHeight="1" x14ac:dyDescent="0.4">
      <c r="F653" s="40"/>
    </row>
    <row r="654" spans="6:6" ht="12.75" customHeight="1" x14ac:dyDescent="0.4">
      <c r="F654" s="40"/>
    </row>
    <row r="655" spans="6:6" ht="12.75" customHeight="1" x14ac:dyDescent="0.4">
      <c r="F655" s="40"/>
    </row>
    <row r="656" spans="6:6" ht="12.75" customHeight="1" x14ac:dyDescent="0.4">
      <c r="F656" s="40"/>
    </row>
    <row r="657" spans="6:6" ht="12.75" customHeight="1" x14ac:dyDescent="0.4">
      <c r="F657" s="40"/>
    </row>
    <row r="658" spans="6:6" ht="12.75" customHeight="1" x14ac:dyDescent="0.4">
      <c r="F658" s="40"/>
    </row>
    <row r="659" spans="6:6" ht="12.75" customHeight="1" x14ac:dyDescent="0.4">
      <c r="F659" s="40"/>
    </row>
    <row r="660" spans="6:6" ht="12.75" customHeight="1" x14ac:dyDescent="0.4">
      <c r="F660" s="40"/>
    </row>
    <row r="661" spans="6:6" ht="12.75" customHeight="1" x14ac:dyDescent="0.4">
      <c r="F661" s="40"/>
    </row>
    <row r="662" spans="6:6" ht="12.75" customHeight="1" x14ac:dyDescent="0.4">
      <c r="F662" s="40"/>
    </row>
    <row r="663" spans="6:6" ht="12.75" customHeight="1" x14ac:dyDescent="0.4">
      <c r="F663" s="40"/>
    </row>
    <row r="664" spans="6:6" ht="12.75" customHeight="1" x14ac:dyDescent="0.4">
      <c r="F664" s="40"/>
    </row>
    <row r="665" spans="6:6" ht="12.75" customHeight="1" x14ac:dyDescent="0.4">
      <c r="F665" s="40"/>
    </row>
    <row r="666" spans="6:6" ht="12.75" customHeight="1" x14ac:dyDescent="0.4">
      <c r="F666" s="40"/>
    </row>
    <row r="667" spans="6:6" ht="12.75" customHeight="1" x14ac:dyDescent="0.4">
      <c r="F667" s="40"/>
    </row>
    <row r="668" spans="6:6" ht="12.75" customHeight="1" x14ac:dyDescent="0.4">
      <c r="F668" s="40"/>
    </row>
    <row r="669" spans="6:6" ht="12.75" customHeight="1" x14ac:dyDescent="0.4">
      <c r="F669" s="40"/>
    </row>
    <row r="670" spans="6:6" ht="12.75" customHeight="1" x14ac:dyDescent="0.4">
      <c r="F670" s="40"/>
    </row>
    <row r="671" spans="6:6" ht="12.75" customHeight="1" x14ac:dyDescent="0.4">
      <c r="F671" s="40"/>
    </row>
    <row r="672" spans="6:6" ht="12.75" customHeight="1" x14ac:dyDescent="0.4">
      <c r="F672" s="40"/>
    </row>
    <row r="673" spans="6:6" ht="12.75" customHeight="1" x14ac:dyDescent="0.4">
      <c r="F673" s="40"/>
    </row>
    <row r="674" spans="6:6" ht="12.75" customHeight="1" x14ac:dyDescent="0.4">
      <c r="F674" s="40"/>
    </row>
    <row r="675" spans="6:6" ht="12.75" customHeight="1" x14ac:dyDescent="0.4">
      <c r="F675" s="40"/>
    </row>
    <row r="676" spans="6:6" ht="12.75" customHeight="1" x14ac:dyDescent="0.4">
      <c r="F676" s="40"/>
    </row>
    <row r="677" spans="6:6" ht="12.75" customHeight="1" x14ac:dyDescent="0.4">
      <c r="F677" s="40"/>
    </row>
    <row r="678" spans="6:6" ht="12.75" customHeight="1" x14ac:dyDescent="0.4">
      <c r="F678" s="40"/>
    </row>
    <row r="679" spans="6:6" ht="12.75" customHeight="1" x14ac:dyDescent="0.4">
      <c r="F679" s="40"/>
    </row>
    <row r="680" spans="6:6" ht="12.75" customHeight="1" x14ac:dyDescent="0.4">
      <c r="F680" s="40"/>
    </row>
    <row r="681" spans="6:6" ht="12.75" customHeight="1" x14ac:dyDescent="0.4">
      <c r="F681" s="40"/>
    </row>
    <row r="682" spans="6:6" ht="12.75" customHeight="1" x14ac:dyDescent="0.4">
      <c r="F682" s="40"/>
    </row>
    <row r="683" spans="6:6" ht="12.75" customHeight="1" x14ac:dyDescent="0.4">
      <c r="F683" s="40"/>
    </row>
    <row r="684" spans="6:6" ht="12.75" customHeight="1" x14ac:dyDescent="0.4">
      <c r="F684" s="40"/>
    </row>
    <row r="685" spans="6:6" ht="12.75" customHeight="1" x14ac:dyDescent="0.4">
      <c r="F685" s="40"/>
    </row>
    <row r="686" spans="6:6" ht="12.75" customHeight="1" x14ac:dyDescent="0.4">
      <c r="F686" s="40"/>
    </row>
    <row r="687" spans="6:6" ht="12.75" customHeight="1" x14ac:dyDescent="0.4">
      <c r="F687" s="40"/>
    </row>
    <row r="688" spans="6:6" ht="12.75" customHeight="1" x14ac:dyDescent="0.4">
      <c r="F688" s="40"/>
    </row>
    <row r="689" spans="6:6" ht="12.75" customHeight="1" x14ac:dyDescent="0.4">
      <c r="F689" s="40"/>
    </row>
    <row r="690" spans="6:6" ht="12.75" customHeight="1" x14ac:dyDescent="0.4">
      <c r="F690" s="40"/>
    </row>
    <row r="691" spans="6:6" ht="12.75" customHeight="1" x14ac:dyDescent="0.4">
      <c r="F691" s="40"/>
    </row>
    <row r="692" spans="6:6" ht="12.75" customHeight="1" x14ac:dyDescent="0.4">
      <c r="F692" s="40"/>
    </row>
    <row r="693" spans="6:6" ht="12.75" customHeight="1" x14ac:dyDescent="0.4">
      <c r="F693" s="40"/>
    </row>
    <row r="694" spans="6:6" ht="12.75" customHeight="1" x14ac:dyDescent="0.4">
      <c r="F694" s="40"/>
    </row>
    <row r="695" spans="6:6" ht="12.75" customHeight="1" x14ac:dyDescent="0.4">
      <c r="F695" s="40"/>
    </row>
    <row r="696" spans="6:6" ht="12.75" customHeight="1" x14ac:dyDescent="0.4">
      <c r="F696" s="40"/>
    </row>
    <row r="697" spans="6:6" ht="12.75" customHeight="1" x14ac:dyDescent="0.4">
      <c r="F697" s="40"/>
    </row>
    <row r="698" spans="6:6" ht="12.75" customHeight="1" x14ac:dyDescent="0.4">
      <c r="F698" s="40"/>
    </row>
    <row r="699" spans="6:6" ht="12.75" customHeight="1" x14ac:dyDescent="0.4">
      <c r="F699" s="40"/>
    </row>
    <row r="700" spans="6:6" ht="12.75" customHeight="1" x14ac:dyDescent="0.4">
      <c r="F700" s="40"/>
    </row>
    <row r="701" spans="6:6" ht="12.75" customHeight="1" x14ac:dyDescent="0.4">
      <c r="F701" s="40"/>
    </row>
    <row r="702" spans="6:6" ht="12.75" customHeight="1" x14ac:dyDescent="0.4">
      <c r="F702" s="40"/>
    </row>
    <row r="703" spans="6:6" ht="12.75" customHeight="1" x14ac:dyDescent="0.4">
      <c r="F703" s="40"/>
    </row>
    <row r="704" spans="6:6" ht="12.75" customHeight="1" x14ac:dyDescent="0.4">
      <c r="F704" s="40"/>
    </row>
    <row r="705" spans="6:6" ht="12.75" customHeight="1" x14ac:dyDescent="0.4">
      <c r="F705" s="40"/>
    </row>
    <row r="706" spans="6:6" ht="12.75" customHeight="1" x14ac:dyDescent="0.4">
      <c r="F706" s="40"/>
    </row>
    <row r="707" spans="6:6" ht="12.75" customHeight="1" x14ac:dyDescent="0.4">
      <c r="F707" s="40"/>
    </row>
    <row r="708" spans="6:6" ht="12.75" customHeight="1" x14ac:dyDescent="0.4">
      <c r="F708" s="40"/>
    </row>
    <row r="709" spans="6:6" ht="12.75" customHeight="1" x14ac:dyDescent="0.4">
      <c r="F709" s="40"/>
    </row>
    <row r="710" spans="6:6" ht="12.75" customHeight="1" x14ac:dyDescent="0.4">
      <c r="F710" s="40"/>
    </row>
    <row r="711" spans="6:6" ht="12.75" customHeight="1" x14ac:dyDescent="0.4">
      <c r="F711" s="40"/>
    </row>
    <row r="712" spans="6:6" ht="12.75" customHeight="1" x14ac:dyDescent="0.4">
      <c r="F712" s="40"/>
    </row>
    <row r="713" spans="6:6" ht="12.75" customHeight="1" x14ac:dyDescent="0.4">
      <c r="F713" s="40"/>
    </row>
    <row r="714" spans="6:6" ht="12.75" customHeight="1" x14ac:dyDescent="0.4">
      <c r="F714" s="40"/>
    </row>
    <row r="715" spans="6:6" ht="12.75" customHeight="1" x14ac:dyDescent="0.4">
      <c r="F715" s="40"/>
    </row>
    <row r="716" spans="6:6" ht="12.75" customHeight="1" x14ac:dyDescent="0.4">
      <c r="F716" s="40"/>
    </row>
    <row r="717" spans="6:6" ht="12.75" customHeight="1" x14ac:dyDescent="0.4">
      <c r="F717" s="40"/>
    </row>
    <row r="718" spans="6:6" ht="12.75" customHeight="1" x14ac:dyDescent="0.4">
      <c r="F718" s="40"/>
    </row>
    <row r="719" spans="6:6" ht="12.75" customHeight="1" x14ac:dyDescent="0.4">
      <c r="F719" s="40"/>
    </row>
    <row r="720" spans="6:6" ht="12.75" customHeight="1" x14ac:dyDescent="0.4">
      <c r="F720" s="40"/>
    </row>
    <row r="721" spans="6:6" ht="12.75" customHeight="1" x14ac:dyDescent="0.4">
      <c r="F721" s="40"/>
    </row>
    <row r="722" spans="6:6" ht="12.75" customHeight="1" x14ac:dyDescent="0.4">
      <c r="F722" s="40"/>
    </row>
    <row r="723" spans="6:6" ht="12.75" customHeight="1" x14ac:dyDescent="0.4">
      <c r="F723" s="40"/>
    </row>
    <row r="724" spans="6:6" ht="12.75" customHeight="1" x14ac:dyDescent="0.4">
      <c r="F724" s="40"/>
    </row>
    <row r="725" spans="6:6" ht="12.75" customHeight="1" x14ac:dyDescent="0.4">
      <c r="F725" s="40"/>
    </row>
    <row r="726" spans="6:6" ht="12.75" customHeight="1" x14ac:dyDescent="0.4">
      <c r="F726" s="40"/>
    </row>
    <row r="727" spans="6:6" ht="12.75" customHeight="1" x14ac:dyDescent="0.4">
      <c r="F727" s="40"/>
    </row>
    <row r="728" spans="6:6" ht="12.75" customHeight="1" x14ac:dyDescent="0.4">
      <c r="F728" s="40"/>
    </row>
    <row r="729" spans="6:6" ht="12.75" customHeight="1" x14ac:dyDescent="0.4">
      <c r="F729" s="40"/>
    </row>
    <row r="730" spans="6:6" ht="12.75" customHeight="1" x14ac:dyDescent="0.4">
      <c r="F730" s="40"/>
    </row>
    <row r="731" spans="6:6" ht="12.75" customHeight="1" x14ac:dyDescent="0.4">
      <c r="F731" s="40"/>
    </row>
    <row r="732" spans="6:6" ht="12.75" customHeight="1" x14ac:dyDescent="0.4">
      <c r="F732" s="40"/>
    </row>
    <row r="733" spans="6:6" ht="12.75" customHeight="1" x14ac:dyDescent="0.4">
      <c r="F733" s="40"/>
    </row>
    <row r="734" spans="6:6" ht="12.75" customHeight="1" x14ac:dyDescent="0.4">
      <c r="F734" s="40"/>
    </row>
    <row r="735" spans="6:6" ht="12.75" customHeight="1" x14ac:dyDescent="0.4">
      <c r="F735" s="40"/>
    </row>
    <row r="736" spans="6:6" ht="12.75" customHeight="1" x14ac:dyDescent="0.4">
      <c r="F736" s="40"/>
    </row>
    <row r="737" spans="6:6" ht="12.75" customHeight="1" x14ac:dyDescent="0.4">
      <c r="F737" s="40"/>
    </row>
    <row r="738" spans="6:6" ht="12.75" customHeight="1" x14ac:dyDescent="0.4">
      <c r="F738" s="40"/>
    </row>
    <row r="739" spans="6:6" ht="12.75" customHeight="1" x14ac:dyDescent="0.4">
      <c r="F739" s="40"/>
    </row>
    <row r="740" spans="6:6" ht="12.75" customHeight="1" x14ac:dyDescent="0.4">
      <c r="F740" s="40"/>
    </row>
    <row r="741" spans="6:6" ht="12.75" customHeight="1" x14ac:dyDescent="0.4">
      <c r="F741" s="40"/>
    </row>
    <row r="742" spans="6:6" ht="12.75" customHeight="1" x14ac:dyDescent="0.4">
      <c r="F742" s="40"/>
    </row>
    <row r="743" spans="6:6" ht="12.75" customHeight="1" x14ac:dyDescent="0.4">
      <c r="F743" s="40"/>
    </row>
    <row r="744" spans="6:6" ht="12.75" customHeight="1" x14ac:dyDescent="0.4">
      <c r="F744" s="40"/>
    </row>
    <row r="745" spans="6:6" ht="12.75" customHeight="1" x14ac:dyDescent="0.4">
      <c r="F745" s="40"/>
    </row>
    <row r="746" spans="6:6" ht="12.75" customHeight="1" x14ac:dyDescent="0.4">
      <c r="F746" s="40"/>
    </row>
    <row r="747" spans="6:6" ht="12.75" customHeight="1" x14ac:dyDescent="0.4">
      <c r="F747" s="40"/>
    </row>
    <row r="748" spans="6:6" ht="12.75" customHeight="1" x14ac:dyDescent="0.4">
      <c r="F748" s="40"/>
    </row>
    <row r="749" spans="6:6" ht="12.75" customHeight="1" x14ac:dyDescent="0.4">
      <c r="F749" s="40"/>
    </row>
    <row r="750" spans="6:6" ht="12.75" customHeight="1" x14ac:dyDescent="0.4">
      <c r="F750" s="40"/>
    </row>
    <row r="751" spans="6:6" ht="12.75" customHeight="1" x14ac:dyDescent="0.4">
      <c r="F751" s="40"/>
    </row>
    <row r="752" spans="6:6" ht="12.75" customHeight="1" x14ac:dyDescent="0.4">
      <c r="F752" s="40"/>
    </row>
    <row r="753" spans="6:6" ht="12.75" customHeight="1" x14ac:dyDescent="0.4">
      <c r="F753" s="40"/>
    </row>
    <row r="754" spans="6:6" ht="12.75" customHeight="1" x14ac:dyDescent="0.4">
      <c r="F754" s="40"/>
    </row>
    <row r="755" spans="6:6" ht="12.75" customHeight="1" x14ac:dyDescent="0.4">
      <c r="F755" s="40"/>
    </row>
    <row r="756" spans="6:6" ht="12.75" customHeight="1" x14ac:dyDescent="0.4">
      <c r="F756" s="40"/>
    </row>
    <row r="757" spans="6:6" ht="12.75" customHeight="1" x14ac:dyDescent="0.4">
      <c r="F757" s="40"/>
    </row>
    <row r="758" spans="6:6" ht="12.75" customHeight="1" x14ac:dyDescent="0.4">
      <c r="F758" s="40"/>
    </row>
    <row r="759" spans="6:6" ht="12.75" customHeight="1" x14ac:dyDescent="0.4">
      <c r="F759" s="40"/>
    </row>
    <row r="760" spans="6:6" ht="12.75" customHeight="1" x14ac:dyDescent="0.4">
      <c r="F760" s="40"/>
    </row>
    <row r="761" spans="6:6" ht="12.75" customHeight="1" x14ac:dyDescent="0.4">
      <c r="F761" s="40"/>
    </row>
    <row r="762" spans="6:6" ht="12.75" customHeight="1" x14ac:dyDescent="0.4">
      <c r="F762" s="40"/>
    </row>
    <row r="763" spans="6:6" ht="12.75" customHeight="1" x14ac:dyDescent="0.4">
      <c r="F763" s="40"/>
    </row>
    <row r="764" spans="6:6" ht="12.75" customHeight="1" x14ac:dyDescent="0.4">
      <c r="F764" s="40"/>
    </row>
    <row r="765" spans="6:6" ht="12.75" customHeight="1" x14ac:dyDescent="0.4">
      <c r="F765" s="40"/>
    </row>
    <row r="766" spans="6:6" ht="12.75" customHeight="1" x14ac:dyDescent="0.4">
      <c r="F766" s="40"/>
    </row>
    <row r="767" spans="6:6" ht="12.75" customHeight="1" x14ac:dyDescent="0.4">
      <c r="F767" s="40"/>
    </row>
    <row r="768" spans="6:6" ht="12.75" customHeight="1" x14ac:dyDescent="0.4">
      <c r="F768" s="40"/>
    </row>
    <row r="769" spans="6:6" ht="12.75" customHeight="1" x14ac:dyDescent="0.4">
      <c r="F769" s="40"/>
    </row>
    <row r="770" spans="6:6" ht="12.75" customHeight="1" x14ac:dyDescent="0.4">
      <c r="F770" s="40"/>
    </row>
    <row r="771" spans="6:6" ht="12.75" customHeight="1" x14ac:dyDescent="0.4">
      <c r="F771" s="40"/>
    </row>
    <row r="772" spans="6:6" ht="12.75" customHeight="1" x14ac:dyDescent="0.4">
      <c r="F772" s="40"/>
    </row>
    <row r="773" spans="6:6" ht="12.75" customHeight="1" x14ac:dyDescent="0.4">
      <c r="F773" s="40"/>
    </row>
    <row r="774" spans="6:6" ht="12.75" customHeight="1" x14ac:dyDescent="0.4">
      <c r="F774" s="40"/>
    </row>
    <row r="775" spans="6:6" ht="12.75" customHeight="1" x14ac:dyDescent="0.4">
      <c r="F775" s="40"/>
    </row>
    <row r="776" spans="6:6" ht="12.75" customHeight="1" x14ac:dyDescent="0.4">
      <c r="F776" s="40"/>
    </row>
    <row r="777" spans="6:6" ht="12.75" customHeight="1" x14ac:dyDescent="0.4">
      <c r="F777" s="40"/>
    </row>
    <row r="778" spans="6:6" ht="12.75" customHeight="1" x14ac:dyDescent="0.4">
      <c r="F778" s="40"/>
    </row>
    <row r="779" spans="6:6" ht="12.75" customHeight="1" x14ac:dyDescent="0.4">
      <c r="F779" s="40"/>
    </row>
    <row r="780" spans="6:6" ht="12.75" customHeight="1" x14ac:dyDescent="0.4">
      <c r="F780" s="40"/>
    </row>
    <row r="781" spans="6:6" ht="12.75" customHeight="1" x14ac:dyDescent="0.4">
      <c r="F781" s="40"/>
    </row>
    <row r="782" spans="6:6" ht="12.75" customHeight="1" x14ac:dyDescent="0.4">
      <c r="F782" s="40"/>
    </row>
    <row r="783" spans="6:6" ht="12.75" customHeight="1" x14ac:dyDescent="0.4">
      <c r="F783" s="40"/>
    </row>
    <row r="784" spans="6:6" ht="12.75" customHeight="1" x14ac:dyDescent="0.4">
      <c r="F784" s="40"/>
    </row>
    <row r="785" spans="6:6" ht="12.75" customHeight="1" x14ac:dyDescent="0.4">
      <c r="F785" s="40"/>
    </row>
    <row r="786" spans="6:6" ht="12.75" customHeight="1" x14ac:dyDescent="0.4">
      <c r="F786" s="40"/>
    </row>
    <row r="787" spans="6:6" ht="12.75" customHeight="1" x14ac:dyDescent="0.4">
      <c r="F787" s="40"/>
    </row>
    <row r="788" spans="6:6" ht="12.75" customHeight="1" x14ac:dyDescent="0.4">
      <c r="F788" s="40"/>
    </row>
    <row r="789" spans="6:6" ht="12.75" customHeight="1" x14ac:dyDescent="0.4">
      <c r="F789" s="40"/>
    </row>
    <row r="790" spans="6:6" ht="12.75" customHeight="1" x14ac:dyDescent="0.4">
      <c r="F790" s="40"/>
    </row>
    <row r="791" spans="6:6" ht="12.75" customHeight="1" x14ac:dyDescent="0.4">
      <c r="F791" s="40"/>
    </row>
    <row r="792" spans="6:6" ht="12.75" customHeight="1" x14ac:dyDescent="0.4">
      <c r="F792" s="40"/>
    </row>
    <row r="793" spans="6:6" ht="12.75" customHeight="1" x14ac:dyDescent="0.4">
      <c r="F793" s="40"/>
    </row>
    <row r="794" spans="6:6" ht="12.75" customHeight="1" x14ac:dyDescent="0.4">
      <c r="F794" s="40"/>
    </row>
    <row r="795" spans="6:6" ht="12.75" customHeight="1" x14ac:dyDescent="0.4">
      <c r="F795" s="40"/>
    </row>
    <row r="796" spans="6:6" ht="12.75" customHeight="1" x14ac:dyDescent="0.4">
      <c r="F796" s="40"/>
    </row>
    <row r="797" spans="6:6" ht="12.75" customHeight="1" x14ac:dyDescent="0.4">
      <c r="F797" s="40"/>
    </row>
    <row r="798" spans="6:6" ht="12.75" customHeight="1" x14ac:dyDescent="0.4">
      <c r="F798" s="40"/>
    </row>
    <row r="799" spans="6:6" ht="12.75" customHeight="1" x14ac:dyDescent="0.4">
      <c r="F799" s="40"/>
    </row>
    <row r="800" spans="6:6" ht="12.75" customHeight="1" x14ac:dyDescent="0.4">
      <c r="F800" s="40"/>
    </row>
    <row r="801" spans="6:6" ht="12.75" customHeight="1" x14ac:dyDescent="0.4">
      <c r="F801" s="40"/>
    </row>
    <row r="802" spans="6:6" ht="12.75" customHeight="1" x14ac:dyDescent="0.4">
      <c r="F802" s="40"/>
    </row>
    <row r="803" spans="6:6" ht="12.75" customHeight="1" x14ac:dyDescent="0.4">
      <c r="F803" s="40"/>
    </row>
    <row r="804" spans="6:6" ht="12.75" customHeight="1" x14ac:dyDescent="0.4">
      <c r="F804" s="40"/>
    </row>
    <row r="805" spans="6:6" ht="12.75" customHeight="1" x14ac:dyDescent="0.4">
      <c r="F805" s="40"/>
    </row>
    <row r="806" spans="6:6" ht="12.75" customHeight="1" x14ac:dyDescent="0.4">
      <c r="F806" s="40"/>
    </row>
    <row r="807" spans="6:6" ht="12.75" customHeight="1" x14ac:dyDescent="0.4">
      <c r="F807" s="40"/>
    </row>
    <row r="808" spans="6:6" ht="12.75" customHeight="1" x14ac:dyDescent="0.4">
      <c r="F808" s="40"/>
    </row>
    <row r="809" spans="6:6" ht="12.75" customHeight="1" x14ac:dyDescent="0.4">
      <c r="F809" s="40"/>
    </row>
    <row r="810" spans="6:6" ht="12.75" customHeight="1" x14ac:dyDescent="0.4">
      <c r="F810" s="40"/>
    </row>
    <row r="811" spans="6:6" ht="12.75" customHeight="1" x14ac:dyDescent="0.4">
      <c r="F811" s="40"/>
    </row>
    <row r="812" spans="6:6" ht="12.75" customHeight="1" x14ac:dyDescent="0.4">
      <c r="F812" s="40"/>
    </row>
    <row r="813" spans="6:6" ht="12.75" customHeight="1" x14ac:dyDescent="0.4">
      <c r="F813" s="40"/>
    </row>
    <row r="814" spans="6:6" ht="12.75" customHeight="1" x14ac:dyDescent="0.4">
      <c r="F814" s="40"/>
    </row>
    <row r="815" spans="6:6" ht="12.75" customHeight="1" x14ac:dyDescent="0.4">
      <c r="F815" s="40"/>
    </row>
    <row r="816" spans="6:6" ht="12.75" customHeight="1" x14ac:dyDescent="0.4">
      <c r="F816" s="40"/>
    </row>
    <row r="817" spans="6:6" ht="12.75" customHeight="1" x14ac:dyDescent="0.4">
      <c r="F817" s="40"/>
    </row>
    <row r="818" spans="6:6" ht="12.75" customHeight="1" x14ac:dyDescent="0.4">
      <c r="F818" s="40"/>
    </row>
    <row r="819" spans="6:6" ht="12.75" customHeight="1" x14ac:dyDescent="0.4">
      <c r="F819" s="40"/>
    </row>
    <row r="820" spans="6:6" ht="12.75" customHeight="1" x14ac:dyDescent="0.4">
      <c r="F820" s="40"/>
    </row>
    <row r="821" spans="6:6" ht="12.75" customHeight="1" x14ac:dyDescent="0.4">
      <c r="F821" s="40"/>
    </row>
    <row r="822" spans="6:6" ht="12.75" customHeight="1" x14ac:dyDescent="0.4">
      <c r="F822" s="40"/>
    </row>
    <row r="823" spans="6:6" ht="12.75" customHeight="1" x14ac:dyDescent="0.4">
      <c r="F823" s="40"/>
    </row>
    <row r="824" spans="6:6" ht="12.75" customHeight="1" x14ac:dyDescent="0.4">
      <c r="F824" s="40"/>
    </row>
    <row r="825" spans="6:6" ht="12.75" customHeight="1" x14ac:dyDescent="0.4">
      <c r="F825" s="40"/>
    </row>
    <row r="826" spans="6:6" ht="12.75" customHeight="1" x14ac:dyDescent="0.4">
      <c r="F826" s="40"/>
    </row>
    <row r="827" spans="6:6" ht="12.75" customHeight="1" x14ac:dyDescent="0.4">
      <c r="F827" s="40"/>
    </row>
    <row r="828" spans="6:6" ht="12.75" customHeight="1" x14ac:dyDescent="0.4">
      <c r="F828" s="40"/>
    </row>
    <row r="829" spans="6:6" ht="12.75" customHeight="1" x14ac:dyDescent="0.4">
      <c r="F829" s="40"/>
    </row>
    <row r="830" spans="6:6" ht="12.75" customHeight="1" x14ac:dyDescent="0.4">
      <c r="F830" s="40"/>
    </row>
    <row r="831" spans="6:6" ht="12.75" customHeight="1" x14ac:dyDescent="0.4">
      <c r="F831" s="40"/>
    </row>
    <row r="832" spans="6:6" ht="12.75" customHeight="1" x14ac:dyDescent="0.4">
      <c r="F832" s="40"/>
    </row>
    <row r="833" spans="6:6" ht="12.75" customHeight="1" x14ac:dyDescent="0.4">
      <c r="F833" s="40"/>
    </row>
    <row r="834" spans="6:6" ht="12.75" customHeight="1" x14ac:dyDescent="0.4">
      <c r="F834" s="40"/>
    </row>
    <row r="835" spans="6:6" ht="12.75" customHeight="1" x14ac:dyDescent="0.4">
      <c r="F835" s="40"/>
    </row>
    <row r="836" spans="6:6" ht="12.75" customHeight="1" x14ac:dyDescent="0.4">
      <c r="F836" s="40"/>
    </row>
    <row r="837" spans="6:6" ht="12.75" customHeight="1" x14ac:dyDescent="0.4">
      <c r="F837" s="40"/>
    </row>
    <row r="838" spans="6:6" ht="12.75" customHeight="1" x14ac:dyDescent="0.4">
      <c r="F838" s="40"/>
    </row>
    <row r="839" spans="6:6" ht="12.75" customHeight="1" x14ac:dyDescent="0.4">
      <c r="F839" s="40"/>
    </row>
    <row r="840" spans="6:6" ht="12.75" customHeight="1" x14ac:dyDescent="0.4">
      <c r="F840" s="40"/>
    </row>
    <row r="841" spans="6:6" ht="12.75" customHeight="1" x14ac:dyDescent="0.4">
      <c r="F841" s="40"/>
    </row>
    <row r="842" spans="6:6" ht="12.75" customHeight="1" x14ac:dyDescent="0.4">
      <c r="F842" s="40"/>
    </row>
    <row r="843" spans="6:6" ht="12.75" customHeight="1" x14ac:dyDescent="0.4">
      <c r="F843" s="40"/>
    </row>
    <row r="844" spans="6:6" ht="12.75" customHeight="1" x14ac:dyDescent="0.4">
      <c r="F844" s="40"/>
    </row>
    <row r="845" spans="6:6" ht="12.75" customHeight="1" x14ac:dyDescent="0.4">
      <c r="F845" s="40"/>
    </row>
    <row r="846" spans="6:6" ht="12.75" customHeight="1" x14ac:dyDescent="0.4">
      <c r="F846" s="40"/>
    </row>
    <row r="847" spans="6:6" ht="12.75" customHeight="1" x14ac:dyDescent="0.4">
      <c r="F847" s="40"/>
    </row>
    <row r="848" spans="6:6" ht="12.75" customHeight="1" x14ac:dyDescent="0.4">
      <c r="F848" s="40"/>
    </row>
    <row r="849" spans="6:6" ht="12.75" customHeight="1" x14ac:dyDescent="0.4">
      <c r="F849" s="40"/>
    </row>
    <row r="850" spans="6:6" ht="12.75" customHeight="1" x14ac:dyDescent="0.4">
      <c r="F850" s="40"/>
    </row>
    <row r="851" spans="6:6" ht="12.75" customHeight="1" x14ac:dyDescent="0.4">
      <c r="F851" s="40"/>
    </row>
    <row r="852" spans="6:6" ht="12.75" customHeight="1" x14ac:dyDescent="0.4">
      <c r="F852" s="40"/>
    </row>
    <row r="853" spans="6:6" ht="12.75" customHeight="1" x14ac:dyDescent="0.4">
      <c r="F853" s="40"/>
    </row>
    <row r="854" spans="6:6" ht="12.75" customHeight="1" x14ac:dyDescent="0.4">
      <c r="F854" s="40"/>
    </row>
    <row r="855" spans="6:6" ht="12.75" customHeight="1" x14ac:dyDescent="0.4">
      <c r="F855" s="40"/>
    </row>
    <row r="856" spans="6:6" ht="12.75" customHeight="1" x14ac:dyDescent="0.4">
      <c r="F856" s="40"/>
    </row>
    <row r="857" spans="6:6" ht="12.75" customHeight="1" x14ac:dyDescent="0.4">
      <c r="F857" s="40"/>
    </row>
    <row r="858" spans="6:6" ht="12.75" customHeight="1" x14ac:dyDescent="0.4">
      <c r="F858" s="40"/>
    </row>
    <row r="859" spans="6:6" ht="12.75" customHeight="1" x14ac:dyDescent="0.4">
      <c r="F859" s="40"/>
    </row>
    <row r="860" spans="6:6" ht="12.75" customHeight="1" x14ac:dyDescent="0.4">
      <c r="F860" s="40"/>
    </row>
    <row r="861" spans="6:6" ht="12.75" customHeight="1" x14ac:dyDescent="0.4">
      <c r="F861" s="40"/>
    </row>
    <row r="862" spans="6:6" ht="12.75" customHeight="1" x14ac:dyDescent="0.4">
      <c r="F862" s="40"/>
    </row>
    <row r="863" spans="6:6" ht="12.75" customHeight="1" x14ac:dyDescent="0.4">
      <c r="F863" s="40"/>
    </row>
    <row r="864" spans="6:6" ht="12.75" customHeight="1" x14ac:dyDescent="0.4">
      <c r="F864" s="40"/>
    </row>
    <row r="865" spans="6:6" ht="12.75" customHeight="1" x14ac:dyDescent="0.4">
      <c r="F865" s="40"/>
    </row>
    <row r="866" spans="6:6" ht="12.75" customHeight="1" x14ac:dyDescent="0.4">
      <c r="F866" s="40"/>
    </row>
    <row r="867" spans="6:6" ht="12.75" customHeight="1" x14ac:dyDescent="0.4">
      <c r="F867" s="40"/>
    </row>
    <row r="868" spans="6:6" ht="12.75" customHeight="1" x14ac:dyDescent="0.4">
      <c r="F868" s="40"/>
    </row>
    <row r="869" spans="6:6" ht="12.75" customHeight="1" x14ac:dyDescent="0.4">
      <c r="F869" s="40"/>
    </row>
    <row r="870" spans="6:6" ht="12.75" customHeight="1" x14ac:dyDescent="0.4">
      <c r="F870" s="40"/>
    </row>
    <row r="871" spans="6:6" ht="12.75" customHeight="1" x14ac:dyDescent="0.4">
      <c r="F871" s="40"/>
    </row>
    <row r="872" spans="6:6" ht="12.75" customHeight="1" x14ac:dyDescent="0.4">
      <c r="F872" s="40"/>
    </row>
    <row r="873" spans="6:6" ht="12.75" customHeight="1" x14ac:dyDescent="0.4">
      <c r="F873" s="40"/>
    </row>
    <row r="874" spans="6:6" ht="12.75" customHeight="1" x14ac:dyDescent="0.4">
      <c r="F874" s="40"/>
    </row>
    <row r="875" spans="6:6" ht="12.75" customHeight="1" x14ac:dyDescent="0.4">
      <c r="F875" s="40"/>
    </row>
    <row r="876" spans="6:6" ht="12.75" customHeight="1" x14ac:dyDescent="0.4">
      <c r="F876" s="40"/>
    </row>
    <row r="877" spans="6:6" ht="12.75" customHeight="1" x14ac:dyDescent="0.4">
      <c r="F877" s="40"/>
    </row>
    <row r="878" spans="6:6" ht="12.75" customHeight="1" x14ac:dyDescent="0.4">
      <c r="F878" s="40"/>
    </row>
    <row r="879" spans="6:6" ht="12.75" customHeight="1" x14ac:dyDescent="0.4">
      <c r="F879" s="40"/>
    </row>
    <row r="880" spans="6:6" ht="12.75" customHeight="1" x14ac:dyDescent="0.4">
      <c r="F880" s="40"/>
    </row>
    <row r="881" spans="6:6" ht="12.75" customHeight="1" x14ac:dyDescent="0.4">
      <c r="F881" s="40"/>
    </row>
    <row r="882" spans="6:6" ht="12.75" customHeight="1" x14ac:dyDescent="0.4">
      <c r="F882" s="40"/>
    </row>
    <row r="883" spans="6:6" ht="12.75" customHeight="1" x14ac:dyDescent="0.4">
      <c r="F883" s="40"/>
    </row>
    <row r="884" spans="6:6" ht="12.75" customHeight="1" x14ac:dyDescent="0.4">
      <c r="F884" s="40"/>
    </row>
    <row r="885" spans="6:6" ht="12.75" customHeight="1" x14ac:dyDescent="0.4">
      <c r="F885" s="40"/>
    </row>
    <row r="886" spans="6:6" ht="12.75" customHeight="1" x14ac:dyDescent="0.4">
      <c r="F886" s="40"/>
    </row>
    <row r="887" spans="6:6" ht="12.75" customHeight="1" x14ac:dyDescent="0.4">
      <c r="F887" s="40"/>
    </row>
    <row r="888" spans="6:6" ht="12.75" customHeight="1" x14ac:dyDescent="0.4">
      <c r="F888" s="40"/>
    </row>
    <row r="889" spans="6:6" ht="12.75" customHeight="1" x14ac:dyDescent="0.4">
      <c r="F889" s="40"/>
    </row>
    <row r="890" spans="6:6" ht="12.75" customHeight="1" x14ac:dyDescent="0.4">
      <c r="F890" s="40"/>
    </row>
    <row r="891" spans="6:6" ht="12.75" customHeight="1" x14ac:dyDescent="0.4">
      <c r="F891" s="40"/>
    </row>
    <row r="892" spans="6:6" ht="12.75" customHeight="1" x14ac:dyDescent="0.4">
      <c r="F892" s="40"/>
    </row>
    <row r="893" spans="6:6" ht="12.75" customHeight="1" x14ac:dyDescent="0.4">
      <c r="F893" s="40"/>
    </row>
    <row r="894" spans="6:6" ht="12.75" customHeight="1" x14ac:dyDescent="0.4">
      <c r="F894" s="40"/>
    </row>
    <row r="895" spans="6:6" ht="12.75" customHeight="1" x14ac:dyDescent="0.4">
      <c r="F895" s="40"/>
    </row>
    <row r="896" spans="6:6" ht="12.75" customHeight="1" x14ac:dyDescent="0.4">
      <c r="F896" s="40"/>
    </row>
    <row r="897" spans="6:6" ht="12.75" customHeight="1" x14ac:dyDescent="0.4">
      <c r="F897" s="40"/>
    </row>
    <row r="898" spans="6:6" ht="12.75" customHeight="1" x14ac:dyDescent="0.4">
      <c r="F898" s="40"/>
    </row>
    <row r="899" spans="6:6" ht="12.75" customHeight="1" x14ac:dyDescent="0.4">
      <c r="F899" s="40"/>
    </row>
    <row r="900" spans="6:6" ht="12.75" customHeight="1" x14ac:dyDescent="0.4">
      <c r="F900" s="40"/>
    </row>
    <row r="901" spans="6:6" ht="12.75" customHeight="1" x14ac:dyDescent="0.4">
      <c r="F901" s="40"/>
    </row>
    <row r="902" spans="6:6" ht="12.75" customHeight="1" x14ac:dyDescent="0.4">
      <c r="F902" s="40"/>
    </row>
    <row r="903" spans="6:6" ht="12.75" customHeight="1" x14ac:dyDescent="0.4">
      <c r="F903" s="40"/>
    </row>
    <row r="904" spans="6:6" ht="12.75" customHeight="1" x14ac:dyDescent="0.4">
      <c r="F904" s="40"/>
    </row>
    <row r="905" spans="6:6" ht="12.75" customHeight="1" x14ac:dyDescent="0.4">
      <c r="F905" s="40"/>
    </row>
    <row r="906" spans="6:6" ht="12.75" customHeight="1" x14ac:dyDescent="0.4">
      <c r="F906" s="40"/>
    </row>
    <row r="907" spans="6:6" ht="12.75" customHeight="1" x14ac:dyDescent="0.4">
      <c r="F907" s="40"/>
    </row>
    <row r="908" spans="6:6" ht="12.75" customHeight="1" x14ac:dyDescent="0.4">
      <c r="F908" s="40"/>
    </row>
    <row r="909" spans="6:6" ht="12.75" customHeight="1" x14ac:dyDescent="0.4">
      <c r="F909" s="40"/>
    </row>
    <row r="910" spans="6:6" ht="12.75" customHeight="1" x14ac:dyDescent="0.4">
      <c r="F910" s="40"/>
    </row>
    <row r="911" spans="6:6" ht="12.75" customHeight="1" x14ac:dyDescent="0.4">
      <c r="F911" s="40"/>
    </row>
    <row r="912" spans="6:6" ht="12.75" customHeight="1" x14ac:dyDescent="0.4">
      <c r="F912" s="40"/>
    </row>
    <row r="913" spans="6:6" ht="12.75" customHeight="1" x14ac:dyDescent="0.4">
      <c r="F913" s="40"/>
    </row>
    <row r="914" spans="6:6" ht="12.75" customHeight="1" x14ac:dyDescent="0.4">
      <c r="F914" s="40"/>
    </row>
    <row r="915" spans="6:6" ht="12.75" customHeight="1" x14ac:dyDescent="0.4">
      <c r="F915" s="40"/>
    </row>
    <row r="916" spans="6:6" ht="12.75" customHeight="1" x14ac:dyDescent="0.4">
      <c r="F916" s="40"/>
    </row>
    <row r="917" spans="6:6" ht="12.75" customHeight="1" x14ac:dyDescent="0.4">
      <c r="F917" s="40"/>
    </row>
    <row r="918" spans="6:6" ht="12.75" customHeight="1" x14ac:dyDescent="0.4">
      <c r="F918" s="40"/>
    </row>
    <row r="919" spans="6:6" ht="12.75" customHeight="1" x14ac:dyDescent="0.4">
      <c r="F919" s="40"/>
    </row>
    <row r="920" spans="6:6" ht="12.75" customHeight="1" x14ac:dyDescent="0.4">
      <c r="F920" s="40"/>
    </row>
    <row r="921" spans="6:6" ht="12.75" customHeight="1" x14ac:dyDescent="0.4">
      <c r="F921" s="40"/>
    </row>
    <row r="922" spans="6:6" ht="12.75" customHeight="1" x14ac:dyDescent="0.4">
      <c r="F922" s="40"/>
    </row>
    <row r="923" spans="6:6" ht="12.75" customHeight="1" x14ac:dyDescent="0.4">
      <c r="F923" s="40"/>
    </row>
    <row r="924" spans="6:6" ht="12.75" customHeight="1" x14ac:dyDescent="0.4">
      <c r="F924" s="40"/>
    </row>
    <row r="925" spans="6:6" ht="12.75" customHeight="1" x14ac:dyDescent="0.4">
      <c r="F925" s="40"/>
    </row>
    <row r="926" spans="6:6" ht="12.75" customHeight="1" x14ac:dyDescent="0.4">
      <c r="F926" s="40"/>
    </row>
    <row r="927" spans="6:6" ht="12.75" customHeight="1" x14ac:dyDescent="0.4">
      <c r="F927" s="40"/>
    </row>
    <row r="928" spans="6:6" ht="12.75" customHeight="1" x14ac:dyDescent="0.4">
      <c r="F928" s="40"/>
    </row>
    <row r="929" spans="6:6" ht="12.75" customHeight="1" x14ac:dyDescent="0.4">
      <c r="F929" s="40"/>
    </row>
    <row r="930" spans="6:6" ht="12.75" customHeight="1" x14ac:dyDescent="0.4">
      <c r="F930" s="40"/>
    </row>
    <row r="931" spans="6:6" ht="12.75" customHeight="1" x14ac:dyDescent="0.4">
      <c r="F931" s="40"/>
    </row>
    <row r="932" spans="6:6" ht="12.75" customHeight="1" x14ac:dyDescent="0.4">
      <c r="F932" s="40"/>
    </row>
    <row r="933" spans="6:6" ht="12.75" customHeight="1" x14ac:dyDescent="0.4">
      <c r="F933" s="40"/>
    </row>
    <row r="934" spans="6:6" ht="12.75" customHeight="1" x14ac:dyDescent="0.4">
      <c r="F934" s="40"/>
    </row>
    <row r="935" spans="6:6" ht="12.75" customHeight="1" x14ac:dyDescent="0.4">
      <c r="F935" s="40"/>
    </row>
    <row r="936" spans="6:6" ht="12.75" customHeight="1" x14ac:dyDescent="0.4">
      <c r="F936" s="40"/>
    </row>
    <row r="937" spans="6:6" ht="12.75" customHeight="1" x14ac:dyDescent="0.4">
      <c r="F937" s="40"/>
    </row>
    <row r="938" spans="6:6" ht="12.75" customHeight="1" x14ac:dyDescent="0.4">
      <c r="F938" s="40"/>
    </row>
    <row r="939" spans="6:6" ht="12.75" customHeight="1" x14ac:dyDescent="0.4">
      <c r="F939" s="40"/>
    </row>
    <row r="940" spans="6:6" ht="12.75" customHeight="1" x14ac:dyDescent="0.4">
      <c r="F940" s="40"/>
    </row>
    <row r="941" spans="6:6" ht="12.75" customHeight="1" x14ac:dyDescent="0.4">
      <c r="F941" s="40"/>
    </row>
    <row r="942" spans="6:6" ht="12.75" customHeight="1" x14ac:dyDescent="0.4">
      <c r="F942" s="40"/>
    </row>
    <row r="943" spans="6:6" ht="12.75" customHeight="1" x14ac:dyDescent="0.4">
      <c r="F943" s="40"/>
    </row>
    <row r="944" spans="6:6" ht="12.75" customHeight="1" x14ac:dyDescent="0.4">
      <c r="F944" s="40"/>
    </row>
    <row r="945" spans="6:6" ht="12.75" customHeight="1" x14ac:dyDescent="0.4">
      <c r="F945" s="40"/>
    </row>
    <row r="946" spans="6:6" ht="12.75" customHeight="1" x14ac:dyDescent="0.4">
      <c r="F946" s="40"/>
    </row>
    <row r="947" spans="6:6" ht="12.75" customHeight="1" x14ac:dyDescent="0.4">
      <c r="F947" s="40"/>
    </row>
    <row r="948" spans="6:6" ht="12.75" customHeight="1" x14ac:dyDescent="0.4">
      <c r="F948" s="40"/>
    </row>
    <row r="949" spans="6:6" ht="12.75" customHeight="1" x14ac:dyDescent="0.4">
      <c r="F949" s="40"/>
    </row>
    <row r="950" spans="6:6" ht="12.75" customHeight="1" x14ac:dyDescent="0.4">
      <c r="F950" s="40"/>
    </row>
    <row r="951" spans="6:6" ht="12.75" customHeight="1" x14ac:dyDescent="0.4">
      <c r="F951" s="40"/>
    </row>
    <row r="952" spans="6:6" ht="12.75" customHeight="1" x14ac:dyDescent="0.4">
      <c r="F952" s="40"/>
    </row>
    <row r="953" spans="6:6" ht="12.75" customHeight="1" x14ac:dyDescent="0.4">
      <c r="F953" s="40"/>
    </row>
    <row r="954" spans="6:6" ht="12.75" customHeight="1" x14ac:dyDescent="0.4">
      <c r="F954" s="40"/>
    </row>
    <row r="955" spans="6:6" ht="12.75" customHeight="1" x14ac:dyDescent="0.4">
      <c r="F955" s="40"/>
    </row>
    <row r="956" spans="6:6" ht="12.75" customHeight="1" x14ac:dyDescent="0.4">
      <c r="F956" s="40"/>
    </row>
    <row r="957" spans="6:6" ht="12.75" customHeight="1" x14ac:dyDescent="0.4">
      <c r="F957" s="40"/>
    </row>
    <row r="958" spans="6:6" ht="12.75" customHeight="1" x14ac:dyDescent="0.4">
      <c r="F958" s="40"/>
    </row>
    <row r="959" spans="6:6" ht="12.75" customHeight="1" x14ac:dyDescent="0.4">
      <c r="F959" s="40"/>
    </row>
    <row r="960" spans="6:6" ht="12.75" customHeight="1" x14ac:dyDescent="0.4">
      <c r="F960" s="40"/>
    </row>
    <row r="961" spans="6:6" ht="12.75" customHeight="1" x14ac:dyDescent="0.4">
      <c r="F961" s="40"/>
    </row>
    <row r="962" spans="6:6" ht="12.75" customHeight="1" x14ac:dyDescent="0.4">
      <c r="F962" s="40"/>
    </row>
    <row r="963" spans="6:6" ht="12.75" customHeight="1" x14ac:dyDescent="0.4">
      <c r="F963" s="40"/>
    </row>
    <row r="964" spans="6:6" ht="12.75" customHeight="1" x14ac:dyDescent="0.4">
      <c r="F964" s="40"/>
    </row>
    <row r="965" spans="6:6" ht="12.75" customHeight="1" x14ac:dyDescent="0.4">
      <c r="F965" s="40"/>
    </row>
    <row r="966" spans="6:6" ht="12.75" customHeight="1" x14ac:dyDescent="0.4">
      <c r="F966" s="40"/>
    </row>
    <row r="967" spans="6:6" ht="12.75" customHeight="1" x14ac:dyDescent="0.4">
      <c r="F967" s="40"/>
    </row>
    <row r="968" spans="6:6" ht="12.75" customHeight="1" x14ac:dyDescent="0.4">
      <c r="F968" s="40"/>
    </row>
    <row r="969" spans="6:6" ht="12.75" customHeight="1" x14ac:dyDescent="0.4">
      <c r="F969" s="40"/>
    </row>
    <row r="970" spans="6:6" ht="12.75" customHeight="1" x14ac:dyDescent="0.4">
      <c r="F970" s="40"/>
    </row>
    <row r="971" spans="6:6" ht="12.75" customHeight="1" x14ac:dyDescent="0.4">
      <c r="F971" s="40"/>
    </row>
    <row r="972" spans="6:6" ht="12.75" customHeight="1" x14ac:dyDescent="0.4">
      <c r="F972" s="40"/>
    </row>
    <row r="973" spans="6:6" ht="12.75" customHeight="1" x14ac:dyDescent="0.4">
      <c r="F973" s="40"/>
    </row>
    <row r="974" spans="6:6" ht="12.75" customHeight="1" x14ac:dyDescent="0.4">
      <c r="F974" s="40"/>
    </row>
    <row r="975" spans="6:6" ht="12.75" customHeight="1" x14ac:dyDescent="0.4">
      <c r="F975" s="40"/>
    </row>
    <row r="976" spans="6:6" ht="12.75" customHeight="1" x14ac:dyDescent="0.4">
      <c r="F976" s="40"/>
    </row>
    <row r="977" spans="6:6" ht="12.75" customHeight="1" x14ac:dyDescent="0.4">
      <c r="F977" s="40"/>
    </row>
    <row r="978" spans="6:6" ht="12.75" customHeight="1" x14ac:dyDescent="0.4">
      <c r="F978" s="40"/>
    </row>
    <row r="979" spans="6:6" ht="12.75" customHeight="1" x14ac:dyDescent="0.4">
      <c r="F979" s="40"/>
    </row>
    <row r="980" spans="6:6" ht="12.75" customHeight="1" x14ac:dyDescent="0.4">
      <c r="F980" s="40"/>
    </row>
    <row r="981" spans="6:6" ht="12.75" customHeight="1" x14ac:dyDescent="0.4">
      <c r="F981" s="40"/>
    </row>
    <row r="982" spans="6:6" ht="12.75" customHeight="1" x14ac:dyDescent="0.4">
      <c r="F982" s="40"/>
    </row>
    <row r="983" spans="6:6" ht="12.75" customHeight="1" x14ac:dyDescent="0.4">
      <c r="F983" s="40"/>
    </row>
    <row r="984" spans="6:6" ht="12.75" customHeight="1" x14ac:dyDescent="0.4">
      <c r="F984" s="40"/>
    </row>
    <row r="985" spans="6:6" ht="12.75" customHeight="1" x14ac:dyDescent="0.4">
      <c r="F985" s="40"/>
    </row>
    <row r="986" spans="6:6" ht="12.75" customHeight="1" x14ac:dyDescent="0.4">
      <c r="F986" s="40"/>
    </row>
    <row r="987" spans="6:6" ht="12.75" customHeight="1" x14ac:dyDescent="0.4">
      <c r="F987" s="40"/>
    </row>
    <row r="988" spans="6:6" ht="12.75" customHeight="1" x14ac:dyDescent="0.4">
      <c r="F988" s="40"/>
    </row>
    <row r="989" spans="6:6" ht="12.75" customHeight="1" x14ac:dyDescent="0.4">
      <c r="F989" s="40"/>
    </row>
    <row r="990" spans="6:6" ht="12.75" customHeight="1" x14ac:dyDescent="0.4">
      <c r="F990" s="40"/>
    </row>
    <row r="991" spans="6:6" ht="12.75" customHeight="1" x14ac:dyDescent="0.4">
      <c r="F991" s="40"/>
    </row>
    <row r="992" spans="6:6" ht="12.75" customHeight="1" x14ac:dyDescent="0.4">
      <c r="F992" s="40"/>
    </row>
    <row r="993" spans="6:6" ht="12.75" customHeight="1" x14ac:dyDescent="0.4">
      <c r="F993" s="40"/>
    </row>
    <row r="994" spans="6:6" ht="12.75" customHeight="1" x14ac:dyDescent="0.4">
      <c r="F994" s="40"/>
    </row>
    <row r="995" spans="6:6" ht="12.75" customHeight="1" x14ac:dyDescent="0.4">
      <c r="F995" s="40"/>
    </row>
    <row r="996" spans="6:6" ht="12.75" customHeight="1" x14ac:dyDescent="0.4">
      <c r="F996" s="40"/>
    </row>
    <row r="997" spans="6:6" ht="12.75" customHeight="1" x14ac:dyDescent="0.4">
      <c r="F997" s="40"/>
    </row>
    <row r="998" spans="6:6" ht="12.75" customHeight="1" x14ac:dyDescent="0.4">
      <c r="F998" s="40"/>
    </row>
    <row r="999" spans="6:6" ht="12.75" customHeight="1" x14ac:dyDescent="0.4">
      <c r="F999" s="40"/>
    </row>
    <row r="1000" spans="6:6" ht="12.75" customHeight="1" x14ac:dyDescent="0.4">
      <c r="F1000" s="40"/>
    </row>
  </sheetData>
  <dataValidations count="2">
    <dataValidation type="list" allowBlank="1" showInputMessage="1" showErrorMessage="1" promptTitle="Implementation Status" prompt="Leave blank until task is begun._x000a_Select &quot;In Work&quot; when started (for long tasks only)._x000a_Select Completed ONLY when this task is done._x000a_    Select &quot;Completed Day 1&quot; if finished on the first day, and_x000a_    similarly for &quot;Completed on Day 2&quot; et. al." sqref="E17:E100" xr:uid="{00000000-0002-0000-0100-000001000000}">
      <formula1>"In Work,Completed Day 1,Completed Day 2,Completed Day 3,Completed Day 4,Completed Day 5,Completed Day 6,Completed Day 7"</formula1>
    </dataValidation>
    <dataValidation type="list" allowBlank="1" showInputMessage="1" showErrorMessage="1" prompt="Select Feature ID from Product Backlog - Exactly ONE team member may be responsible for any task, and they will receive grade credit for their work._x000a__x000a_If you have more than one person on your team, each member MUST select their initials for each task the a" sqref="C17:C100" xr:uid="{00000000-0002-0000-0100-000002000000}">
      <formula1>#REF!</formula1>
    </dataValidation>
  </dataValidations>
  <pageMargins left="0.78749999999999998" right="0.78749999999999998" top="1.0249999999999999" bottom="1.0249999999999999" header="0" footer="0"/>
  <pageSetup orientation="portrait"/>
  <headerFooter>
    <oddHeader>&amp;C&amp;A</oddHeader>
    <oddFooter>&amp;CPage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elect Feature ID from Product Backlog - The list contains the Feature IDs from the same column on the Product Backlog tab._x000a__x000a_For each (ahem) Feature ID, create one or more rows in this table representing the tasks you need to complete to implement that fe" xr:uid="{00000000-0002-0000-0100-000000000000}">
          <x14:formula1>
            <xm:f>'Product Backlog'!$A$24:$A$95</xm:f>
          </x14:formula1>
          <xm:sqref>B17:B100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D14" sqref="D14"/>
    </sheetView>
  </sheetViews>
  <sheetFormatPr defaultColWidth="14.44140625" defaultRowHeight="15" customHeight="1" x14ac:dyDescent="0.4"/>
  <cols>
    <col min="1" max="1" width="10.27734375" customWidth="1"/>
    <col min="2" max="2" width="11.5546875" customWidth="1"/>
    <col min="3" max="3" width="12.27734375" customWidth="1"/>
    <col min="4" max="4" width="51.83203125" customWidth="1"/>
    <col min="5" max="5" width="17.71875" customWidth="1"/>
    <col min="6" max="6" width="51.83203125" customWidth="1"/>
    <col min="7" max="26" width="11.5546875" customWidth="1"/>
  </cols>
  <sheetData>
    <row r="1" spans="1:26" ht="12.75" customHeight="1" x14ac:dyDescent="0.6">
      <c r="A1" s="1" t="s">
        <v>0</v>
      </c>
      <c r="B1" s="1">
        <f>'Sprint 01 Backlog'!B1+1</f>
        <v>2</v>
      </c>
      <c r="C1" s="1"/>
      <c r="D1" s="3" t="s">
        <v>2</v>
      </c>
      <c r="F1" s="1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4">
      <c r="A2" s="1" t="s">
        <v>4</v>
      </c>
      <c r="B2" s="9">
        <f>'Sprint 01 Backlog'!B3</f>
        <v>43914</v>
      </c>
      <c r="C2" s="1"/>
      <c r="D2" s="10" t="s">
        <v>5</v>
      </c>
      <c r="E2" s="1"/>
      <c r="F2" s="1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4">
      <c r="A3" s="1" t="s">
        <v>7</v>
      </c>
      <c r="B3" s="9">
        <f>B2+7</f>
        <v>43921</v>
      </c>
      <c r="C3" s="1"/>
      <c r="D3" s="1"/>
      <c r="E3" s="1"/>
      <c r="F3" s="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4">
      <c r="A4" s="1" t="s">
        <v>8</v>
      </c>
      <c r="B4" s="11" t="s">
        <v>9</v>
      </c>
      <c r="C4" s="1"/>
      <c r="D4" s="1"/>
      <c r="E4" s="1"/>
      <c r="F4" s="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4">
      <c r="A5" s="1"/>
      <c r="B5" s="11"/>
      <c r="C5" s="1"/>
      <c r="D5" s="1"/>
      <c r="E5" s="1"/>
      <c r="F5" s="1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4">
      <c r="A6" s="1"/>
      <c r="B6" s="12" t="s">
        <v>14</v>
      </c>
      <c r="C6" s="1" t="s">
        <v>15</v>
      </c>
      <c r="D6" s="1"/>
      <c r="E6" s="1"/>
      <c r="F6" s="1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4">
      <c r="A7" s="1" t="s">
        <v>16</v>
      </c>
      <c r="B7" s="1">
        <f>COUNTA(D17:D995)</f>
        <v>6</v>
      </c>
      <c r="C7" s="1"/>
      <c r="D7" s="1"/>
      <c r="E7" s="1"/>
      <c r="F7" s="1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4">
      <c r="A8" s="1" t="s">
        <v>17</v>
      </c>
      <c r="B8" s="1">
        <f t="shared" ref="B8:B14" si="0">B7-C8</f>
        <v>6</v>
      </c>
      <c r="C8" s="1">
        <f>COUNTIF(E$17:E$995, "Completed Day 1")</f>
        <v>0</v>
      </c>
      <c r="D8" s="1"/>
      <c r="E8" s="1"/>
      <c r="F8" s="1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4">
      <c r="A9" s="1" t="s">
        <v>18</v>
      </c>
      <c r="B9" s="1">
        <f t="shared" si="0"/>
        <v>6</v>
      </c>
      <c r="C9" s="1">
        <f>COUNTIF(E$17:E$995, "Completed Day 2")</f>
        <v>0</v>
      </c>
      <c r="D9" s="1"/>
      <c r="E9" s="1"/>
      <c r="F9" s="1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4">
      <c r="A10" s="1" t="s">
        <v>19</v>
      </c>
      <c r="B10" s="1">
        <f t="shared" si="0"/>
        <v>6</v>
      </c>
      <c r="C10" s="1">
        <f>COUNTIF(E$17:E$995, "Completed Day 3")</f>
        <v>0</v>
      </c>
      <c r="D10" s="1"/>
      <c r="E10" s="1"/>
      <c r="F10" s="1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4">
      <c r="A11" s="1" t="s">
        <v>20</v>
      </c>
      <c r="B11" s="1">
        <f t="shared" si="0"/>
        <v>4</v>
      </c>
      <c r="C11" s="1">
        <v>2</v>
      </c>
      <c r="D11" s="1"/>
      <c r="E11" s="1"/>
      <c r="F11" s="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4">
      <c r="A12" s="1" t="s">
        <v>23</v>
      </c>
      <c r="B12" s="1">
        <f t="shared" si="0"/>
        <v>3</v>
      </c>
      <c r="C12" s="1">
        <v>1</v>
      </c>
      <c r="D12" s="1"/>
      <c r="E12" s="1"/>
      <c r="F12" s="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4">
      <c r="A13" s="1" t="s">
        <v>25</v>
      </c>
      <c r="B13" s="1">
        <f t="shared" si="0"/>
        <v>3</v>
      </c>
      <c r="C13" s="1">
        <f>COUNTIF(E$17:E$995, "Completed Day 6")</f>
        <v>0</v>
      </c>
      <c r="D13" s="1"/>
      <c r="E13" s="1"/>
      <c r="F13" s="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4">
      <c r="A14" s="1" t="s">
        <v>28</v>
      </c>
      <c r="B14" s="1">
        <f t="shared" si="0"/>
        <v>2</v>
      </c>
      <c r="C14" s="1">
        <v>1</v>
      </c>
      <c r="D14" s="1"/>
      <c r="E14" s="1"/>
      <c r="F14" s="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4">
      <c r="A15" s="1"/>
      <c r="B15" s="1"/>
      <c r="C15" s="1"/>
      <c r="D15" s="1"/>
      <c r="E15" s="1"/>
      <c r="F15" s="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4">
      <c r="A16" s="19" t="s">
        <v>30</v>
      </c>
      <c r="B16" s="19" t="s">
        <v>31</v>
      </c>
      <c r="C16" s="19" t="s">
        <v>32</v>
      </c>
      <c r="D16" s="19" t="s">
        <v>33</v>
      </c>
      <c r="E16" s="19" t="s">
        <v>34</v>
      </c>
      <c r="F16" s="19" t="s">
        <v>35</v>
      </c>
    </row>
    <row r="17" spans="1:6" ht="12.75" customHeight="1" x14ac:dyDescent="0.4">
      <c r="A17" s="2">
        <v>1</v>
      </c>
      <c r="B17" s="21" t="s">
        <v>81</v>
      </c>
      <c r="C17" s="2"/>
      <c r="D17" s="23" t="s">
        <v>142</v>
      </c>
      <c r="E17" s="25"/>
      <c r="F17" s="26" t="s">
        <v>143</v>
      </c>
    </row>
    <row r="18" spans="1:6" ht="12.75" customHeight="1" x14ac:dyDescent="0.4">
      <c r="A18" s="2">
        <v>2</v>
      </c>
      <c r="B18" s="21" t="s">
        <v>81</v>
      </c>
      <c r="C18" s="2"/>
      <c r="D18" s="22" t="s">
        <v>144</v>
      </c>
      <c r="E18" s="25"/>
      <c r="F18" s="26" t="s">
        <v>145</v>
      </c>
    </row>
    <row r="19" spans="1:6" ht="12.75" customHeight="1" x14ac:dyDescent="0.4">
      <c r="A19" s="2">
        <v>3</v>
      </c>
      <c r="B19" s="21" t="s">
        <v>81</v>
      </c>
      <c r="C19" s="2"/>
      <c r="D19" s="22" t="s">
        <v>146</v>
      </c>
      <c r="E19" s="25"/>
      <c r="F19" s="26" t="s">
        <v>150</v>
      </c>
    </row>
    <row r="20" spans="1:6" ht="12.75" customHeight="1" x14ac:dyDescent="0.4">
      <c r="A20" s="2">
        <v>4</v>
      </c>
      <c r="B20" s="21" t="s">
        <v>81</v>
      </c>
      <c r="C20" s="2"/>
      <c r="D20" s="22" t="s">
        <v>147</v>
      </c>
      <c r="E20" s="25"/>
      <c r="F20" s="26" t="s">
        <v>151</v>
      </c>
    </row>
    <row r="21" spans="1:6" ht="12.75" customHeight="1" x14ac:dyDescent="0.4">
      <c r="A21" s="2">
        <v>5</v>
      </c>
      <c r="B21" s="21" t="s">
        <v>85</v>
      </c>
      <c r="C21" s="2"/>
      <c r="D21" s="22" t="s">
        <v>148</v>
      </c>
      <c r="E21" s="25"/>
      <c r="F21" s="26"/>
    </row>
    <row r="22" spans="1:6" ht="12.75" customHeight="1" x14ac:dyDescent="0.4">
      <c r="A22" s="2">
        <v>6</v>
      </c>
      <c r="B22" s="21" t="s">
        <v>93</v>
      </c>
      <c r="C22" s="2"/>
      <c r="D22" s="22" t="s">
        <v>149</v>
      </c>
      <c r="E22" s="25"/>
      <c r="F22" s="26"/>
    </row>
    <row r="23" spans="1:6" ht="12.75" customHeight="1" x14ac:dyDescent="0.4">
      <c r="A23" s="2">
        <v>7</v>
      </c>
      <c r="B23" s="21"/>
      <c r="C23" s="2"/>
      <c r="D23" s="22"/>
      <c r="E23" s="25"/>
      <c r="F23" s="26"/>
    </row>
    <row r="24" spans="1:6" ht="12.75" customHeight="1" x14ac:dyDescent="0.4">
      <c r="A24" s="2">
        <v>8</v>
      </c>
      <c r="B24" s="21"/>
      <c r="C24" s="2"/>
      <c r="D24" s="22"/>
      <c r="E24" s="25"/>
      <c r="F24" s="26"/>
    </row>
    <row r="25" spans="1:6" ht="12.75" customHeight="1" x14ac:dyDescent="0.4">
      <c r="A25" s="2">
        <v>9</v>
      </c>
      <c r="B25" s="21"/>
      <c r="C25" s="2"/>
      <c r="D25" s="22"/>
      <c r="E25" s="25"/>
      <c r="F25" s="26"/>
    </row>
    <row r="26" spans="1:6" ht="12.75" customHeight="1" x14ac:dyDescent="0.4">
      <c r="A26" s="2">
        <v>10</v>
      </c>
      <c r="B26" s="21"/>
      <c r="C26" s="2"/>
      <c r="D26" s="22"/>
      <c r="E26" s="25"/>
      <c r="F26" s="26"/>
    </row>
    <row r="27" spans="1:6" ht="12.75" customHeight="1" x14ac:dyDescent="0.4">
      <c r="A27" s="2">
        <v>11</v>
      </c>
      <c r="B27" s="21"/>
      <c r="C27" s="2"/>
      <c r="D27" s="22"/>
      <c r="E27" s="25"/>
      <c r="F27" s="26"/>
    </row>
    <row r="28" spans="1:6" ht="12.75" customHeight="1" x14ac:dyDescent="0.4">
      <c r="A28" s="2">
        <v>12</v>
      </c>
      <c r="B28" s="21"/>
      <c r="C28" s="2"/>
      <c r="D28" s="22"/>
      <c r="E28" s="25"/>
      <c r="F28" s="26"/>
    </row>
    <row r="29" spans="1:6" ht="12.75" customHeight="1" x14ac:dyDescent="0.4">
      <c r="A29" s="2">
        <v>13</v>
      </c>
      <c r="B29" s="21"/>
      <c r="C29" s="2"/>
      <c r="D29" s="22"/>
      <c r="E29" s="25"/>
      <c r="F29" s="26"/>
    </row>
    <row r="30" spans="1:6" ht="12.75" customHeight="1" x14ac:dyDescent="0.4">
      <c r="A30" s="2">
        <v>14</v>
      </c>
      <c r="B30" s="21"/>
      <c r="C30" s="2"/>
      <c r="D30" s="22"/>
      <c r="E30" s="25"/>
      <c r="F30" s="26"/>
    </row>
    <row r="31" spans="1:6" ht="12.75" customHeight="1" x14ac:dyDescent="0.4">
      <c r="A31" s="2">
        <v>15</v>
      </c>
      <c r="B31" s="21"/>
      <c r="C31" s="2"/>
      <c r="D31" s="22"/>
      <c r="E31" s="25"/>
      <c r="F31" s="26"/>
    </row>
    <row r="32" spans="1:6" ht="12.75" customHeight="1" x14ac:dyDescent="0.4">
      <c r="A32" s="2">
        <v>16</v>
      </c>
      <c r="B32" s="21"/>
      <c r="C32" s="2"/>
      <c r="D32" s="22"/>
      <c r="E32" s="25"/>
      <c r="F32" s="26"/>
    </row>
    <row r="33" spans="1:6" ht="12.75" customHeight="1" x14ac:dyDescent="0.4">
      <c r="A33" s="2">
        <v>17</v>
      </c>
      <c r="B33" s="21"/>
      <c r="C33" s="2"/>
      <c r="D33" s="22"/>
      <c r="E33" s="25"/>
      <c r="F33" s="26"/>
    </row>
    <row r="34" spans="1:6" ht="12.75" customHeight="1" x14ac:dyDescent="0.4">
      <c r="A34" s="2">
        <v>18</v>
      </c>
      <c r="B34" s="21"/>
      <c r="C34" s="2"/>
      <c r="D34" s="22"/>
      <c r="E34" s="25"/>
      <c r="F34" s="26"/>
    </row>
    <row r="35" spans="1:6" ht="12.75" customHeight="1" x14ac:dyDescent="0.4">
      <c r="A35" s="2">
        <v>19</v>
      </c>
      <c r="B35" s="21"/>
      <c r="C35" s="2"/>
      <c r="D35" s="22"/>
      <c r="E35" s="25"/>
      <c r="F35" s="26"/>
    </row>
    <row r="36" spans="1:6" ht="12.75" customHeight="1" x14ac:dyDescent="0.4">
      <c r="A36" s="2">
        <v>20</v>
      </c>
      <c r="B36" s="21"/>
      <c r="C36" s="2"/>
      <c r="D36" s="22"/>
      <c r="E36" s="25"/>
      <c r="F36" s="26"/>
    </row>
    <row r="37" spans="1:6" ht="12.75" customHeight="1" x14ac:dyDescent="0.4">
      <c r="A37" s="2">
        <v>21</v>
      </c>
      <c r="B37" s="21"/>
      <c r="C37" s="2"/>
      <c r="D37" s="22"/>
      <c r="E37" s="25"/>
      <c r="F37" s="26"/>
    </row>
    <row r="38" spans="1:6" ht="12.75" customHeight="1" x14ac:dyDescent="0.4">
      <c r="A38" s="2">
        <v>22</v>
      </c>
      <c r="B38" s="21"/>
      <c r="C38" s="2"/>
      <c r="D38" s="22"/>
      <c r="E38" s="25"/>
      <c r="F38" s="26"/>
    </row>
    <row r="39" spans="1:6" ht="12.75" customHeight="1" x14ac:dyDescent="0.4">
      <c r="A39" s="2">
        <v>23</v>
      </c>
      <c r="B39" s="21"/>
      <c r="C39" s="2"/>
      <c r="D39" s="22"/>
      <c r="E39" s="25"/>
      <c r="F39" s="26"/>
    </row>
    <row r="40" spans="1:6" ht="12.75" customHeight="1" x14ac:dyDescent="0.4">
      <c r="A40" s="2">
        <v>24</v>
      </c>
      <c r="B40" s="21"/>
      <c r="C40" s="2"/>
      <c r="D40" s="22"/>
      <c r="E40" s="25"/>
      <c r="F40" s="26"/>
    </row>
    <row r="41" spans="1:6" ht="12.75" customHeight="1" x14ac:dyDescent="0.4">
      <c r="A41" s="2">
        <v>25</v>
      </c>
      <c r="B41" s="21"/>
      <c r="C41" s="2"/>
      <c r="D41" s="22"/>
      <c r="E41" s="25"/>
      <c r="F41" s="26"/>
    </row>
    <row r="42" spans="1:6" ht="12.75" customHeight="1" x14ac:dyDescent="0.4">
      <c r="A42" s="2">
        <v>26</v>
      </c>
      <c r="B42" s="21"/>
      <c r="C42" s="2"/>
      <c r="D42" s="22"/>
      <c r="E42" s="25"/>
      <c r="F42" s="26"/>
    </row>
    <row r="43" spans="1:6" ht="12.75" customHeight="1" x14ac:dyDescent="0.4">
      <c r="A43" s="2">
        <v>27</v>
      </c>
      <c r="B43" s="21"/>
      <c r="C43" s="2"/>
      <c r="D43" s="22"/>
      <c r="E43" s="25"/>
      <c r="F43" s="26"/>
    </row>
    <row r="44" spans="1:6" ht="12.75" customHeight="1" x14ac:dyDescent="0.4">
      <c r="A44" s="2">
        <v>28</v>
      </c>
      <c r="B44" s="21"/>
      <c r="C44" s="2"/>
      <c r="D44" s="22"/>
      <c r="E44" s="25"/>
      <c r="F44" s="26"/>
    </row>
    <row r="45" spans="1:6" ht="12.75" customHeight="1" x14ac:dyDescent="0.4">
      <c r="A45" s="2">
        <v>29</v>
      </c>
      <c r="B45" s="21"/>
      <c r="C45" s="2"/>
      <c r="D45" s="22"/>
      <c r="E45" s="25"/>
      <c r="F45" s="26"/>
    </row>
    <row r="46" spans="1:6" ht="12.75" customHeight="1" x14ac:dyDescent="0.4">
      <c r="A46" s="2">
        <v>30</v>
      </c>
      <c r="B46" s="21"/>
      <c r="C46" s="2"/>
      <c r="D46" s="22"/>
      <c r="E46" s="25"/>
      <c r="F46" s="26"/>
    </row>
    <row r="47" spans="1:6" ht="12.75" customHeight="1" x14ac:dyDescent="0.4">
      <c r="A47" s="2">
        <v>31</v>
      </c>
      <c r="B47" s="21"/>
      <c r="C47" s="2"/>
      <c r="D47" s="22"/>
      <c r="E47" s="25"/>
      <c r="F47" s="26"/>
    </row>
    <row r="48" spans="1:6" ht="12.75" customHeight="1" x14ac:dyDescent="0.4">
      <c r="A48" s="2">
        <v>32</v>
      </c>
      <c r="B48" s="21"/>
      <c r="C48" s="2"/>
      <c r="D48" s="22"/>
      <c r="E48" s="25"/>
      <c r="F48" s="26"/>
    </row>
    <row r="49" spans="1:6" ht="12.75" customHeight="1" x14ac:dyDescent="0.4">
      <c r="A49" s="2">
        <v>33</v>
      </c>
      <c r="B49" s="21"/>
      <c r="C49" s="2"/>
      <c r="D49" s="22"/>
      <c r="E49" s="25"/>
      <c r="F49" s="26"/>
    </row>
    <row r="50" spans="1:6" ht="12.75" customHeight="1" x14ac:dyDescent="0.4">
      <c r="A50" s="2">
        <v>34</v>
      </c>
      <c r="B50" s="21"/>
      <c r="C50" s="2"/>
      <c r="D50" s="22"/>
      <c r="E50" s="25"/>
      <c r="F50" s="26"/>
    </row>
    <row r="51" spans="1:6" ht="12.75" customHeight="1" x14ac:dyDescent="0.4">
      <c r="A51" s="2">
        <v>35</v>
      </c>
      <c r="B51" s="21"/>
      <c r="C51" s="2"/>
      <c r="D51" s="22"/>
      <c r="E51" s="25"/>
      <c r="F51" s="26"/>
    </row>
    <row r="52" spans="1:6" ht="12.75" customHeight="1" x14ac:dyDescent="0.4">
      <c r="A52" s="2">
        <v>36</v>
      </c>
      <c r="B52" s="21"/>
      <c r="C52" s="2"/>
      <c r="D52" s="22"/>
      <c r="E52" s="25"/>
      <c r="F52" s="26"/>
    </row>
    <row r="53" spans="1:6" ht="12.75" customHeight="1" x14ac:dyDescent="0.4">
      <c r="A53" s="2">
        <v>37</v>
      </c>
      <c r="B53" s="21"/>
      <c r="C53" s="2"/>
      <c r="D53" s="22"/>
      <c r="E53" s="25"/>
      <c r="F53" s="26"/>
    </row>
    <row r="54" spans="1:6" ht="12.75" customHeight="1" x14ac:dyDescent="0.4">
      <c r="A54" s="2">
        <v>38</v>
      </c>
      <c r="B54" s="21"/>
      <c r="C54" s="2"/>
      <c r="D54" s="22"/>
      <c r="E54" s="25"/>
      <c r="F54" s="26"/>
    </row>
    <row r="55" spans="1:6" ht="12.75" customHeight="1" x14ac:dyDescent="0.4">
      <c r="A55" s="2">
        <v>39</v>
      </c>
      <c r="B55" s="21"/>
      <c r="C55" s="2"/>
      <c r="D55" s="22"/>
      <c r="E55" s="25"/>
      <c r="F55" s="26"/>
    </row>
    <row r="56" spans="1:6" ht="12.75" customHeight="1" x14ac:dyDescent="0.4">
      <c r="A56" s="2">
        <v>40</v>
      </c>
      <c r="B56" s="21"/>
      <c r="C56" s="2"/>
      <c r="D56" s="22"/>
      <c r="E56" s="25"/>
      <c r="F56" s="26"/>
    </row>
    <row r="57" spans="1:6" ht="12.75" customHeight="1" x14ac:dyDescent="0.4">
      <c r="A57" s="2">
        <v>41</v>
      </c>
      <c r="B57" s="21"/>
      <c r="C57" s="2"/>
      <c r="D57" s="22"/>
      <c r="E57" s="25"/>
      <c r="F57" s="26"/>
    </row>
    <row r="58" spans="1:6" ht="12.75" customHeight="1" x14ac:dyDescent="0.4">
      <c r="A58" s="2">
        <v>42</v>
      </c>
      <c r="B58" s="21"/>
      <c r="C58" s="2"/>
      <c r="D58" s="22"/>
      <c r="E58" s="25"/>
      <c r="F58" s="26"/>
    </row>
    <row r="59" spans="1:6" ht="12.75" customHeight="1" x14ac:dyDescent="0.4">
      <c r="A59" s="2">
        <v>43</v>
      </c>
      <c r="B59" s="21"/>
      <c r="C59" s="2"/>
      <c r="D59" s="22"/>
      <c r="E59" s="25"/>
      <c r="F59" s="26"/>
    </row>
    <row r="60" spans="1:6" ht="12.75" customHeight="1" x14ac:dyDescent="0.4">
      <c r="A60" s="2">
        <v>44</v>
      </c>
      <c r="B60" s="21"/>
      <c r="C60" s="2"/>
      <c r="D60" s="22"/>
      <c r="E60" s="25"/>
      <c r="F60" s="26"/>
    </row>
    <row r="61" spans="1:6" ht="12.75" customHeight="1" x14ac:dyDescent="0.4">
      <c r="A61" s="2">
        <v>45</v>
      </c>
      <c r="B61" s="21"/>
      <c r="C61" s="2"/>
      <c r="D61" s="22"/>
      <c r="E61" s="25"/>
      <c r="F61" s="26"/>
    </row>
    <row r="62" spans="1:6" ht="12.75" customHeight="1" x14ac:dyDescent="0.4">
      <c r="A62" s="2">
        <v>46</v>
      </c>
      <c r="B62" s="21"/>
      <c r="C62" s="2"/>
      <c r="D62" s="22"/>
      <c r="E62" s="25"/>
      <c r="F62" s="26"/>
    </row>
    <row r="63" spans="1:6" ht="12.75" customHeight="1" x14ac:dyDescent="0.4">
      <c r="A63" s="2">
        <v>47</v>
      </c>
      <c r="B63" s="21"/>
      <c r="C63" s="2"/>
      <c r="D63" s="22"/>
      <c r="E63" s="25"/>
      <c r="F63" s="26"/>
    </row>
    <row r="64" spans="1:6" ht="12.75" customHeight="1" x14ac:dyDescent="0.4">
      <c r="A64" s="2">
        <v>48</v>
      </c>
      <c r="B64" s="21"/>
      <c r="C64" s="2"/>
      <c r="D64" s="22"/>
      <c r="E64" s="25"/>
      <c r="F64" s="26"/>
    </row>
    <row r="65" spans="1:6" ht="12.75" customHeight="1" x14ac:dyDescent="0.4">
      <c r="A65" s="2">
        <v>49</v>
      </c>
      <c r="B65" s="21"/>
      <c r="C65" s="2"/>
      <c r="D65" s="22"/>
      <c r="E65" s="25"/>
      <c r="F65" s="26"/>
    </row>
    <row r="66" spans="1:6" ht="12.75" customHeight="1" x14ac:dyDescent="0.4">
      <c r="A66" s="2">
        <v>50</v>
      </c>
      <c r="B66" s="21"/>
      <c r="C66" s="2"/>
      <c r="D66" s="22"/>
      <c r="E66" s="25"/>
      <c r="F66" s="26"/>
    </row>
    <row r="67" spans="1:6" ht="12.75" customHeight="1" x14ac:dyDescent="0.4">
      <c r="A67" s="2">
        <v>51</v>
      </c>
      <c r="B67" s="21"/>
      <c r="C67" s="2"/>
      <c r="D67" s="22"/>
      <c r="E67" s="25"/>
      <c r="F67" s="26"/>
    </row>
    <row r="68" spans="1:6" ht="12.75" customHeight="1" x14ac:dyDescent="0.4">
      <c r="A68" s="2">
        <v>52</v>
      </c>
      <c r="B68" s="21"/>
      <c r="C68" s="2"/>
      <c r="D68" s="22"/>
      <c r="E68" s="25"/>
      <c r="F68" s="26"/>
    </row>
    <row r="69" spans="1:6" ht="12.75" customHeight="1" x14ac:dyDescent="0.4">
      <c r="A69" s="2">
        <v>53</v>
      </c>
      <c r="B69" s="21"/>
      <c r="C69" s="2"/>
      <c r="D69" s="22"/>
      <c r="E69" s="25"/>
      <c r="F69" s="26"/>
    </row>
    <row r="70" spans="1:6" ht="12.75" customHeight="1" x14ac:dyDescent="0.4">
      <c r="A70" s="2">
        <v>54</v>
      </c>
      <c r="B70" s="21"/>
      <c r="C70" s="2"/>
      <c r="D70" s="22"/>
      <c r="E70" s="25"/>
      <c r="F70" s="26"/>
    </row>
    <row r="71" spans="1:6" ht="12.75" customHeight="1" x14ac:dyDescent="0.4">
      <c r="A71" s="2">
        <v>55</v>
      </c>
      <c r="B71" s="21"/>
      <c r="C71" s="2"/>
      <c r="D71" s="22"/>
      <c r="E71" s="25"/>
      <c r="F71" s="26"/>
    </row>
    <row r="72" spans="1:6" ht="12.75" customHeight="1" x14ac:dyDescent="0.4">
      <c r="A72" s="2">
        <v>56</v>
      </c>
      <c r="B72" s="21"/>
      <c r="C72" s="2"/>
      <c r="D72" s="22"/>
      <c r="E72" s="25"/>
      <c r="F72" s="26"/>
    </row>
    <row r="73" spans="1:6" ht="12.75" customHeight="1" x14ac:dyDescent="0.4">
      <c r="A73" s="2">
        <v>57</v>
      </c>
      <c r="B73" s="21"/>
      <c r="C73" s="2"/>
      <c r="D73" s="22"/>
      <c r="E73" s="25"/>
      <c r="F73" s="26"/>
    </row>
    <row r="74" spans="1:6" ht="12.75" customHeight="1" x14ac:dyDescent="0.4">
      <c r="A74" s="2">
        <v>58</v>
      </c>
      <c r="B74" s="21"/>
      <c r="C74" s="2"/>
      <c r="D74" s="22"/>
      <c r="E74" s="25"/>
      <c r="F74" s="26"/>
    </row>
    <row r="75" spans="1:6" ht="12.75" customHeight="1" x14ac:dyDescent="0.4">
      <c r="A75" s="2">
        <v>59</v>
      </c>
      <c r="B75" s="21"/>
      <c r="C75" s="2"/>
      <c r="D75" s="22"/>
      <c r="E75" s="25"/>
      <c r="F75" s="26"/>
    </row>
    <row r="76" spans="1:6" ht="12.75" customHeight="1" x14ac:dyDescent="0.4">
      <c r="A76" s="2">
        <v>60</v>
      </c>
      <c r="B76" s="21"/>
      <c r="C76" s="2"/>
      <c r="D76" s="22"/>
      <c r="E76" s="25"/>
      <c r="F76" s="26"/>
    </row>
    <row r="77" spans="1:6" ht="12.75" customHeight="1" x14ac:dyDescent="0.4">
      <c r="A77" s="2">
        <v>61</v>
      </c>
      <c r="B77" s="21"/>
      <c r="C77" s="2"/>
      <c r="D77" s="22"/>
      <c r="E77" s="25"/>
      <c r="F77" s="26"/>
    </row>
    <row r="78" spans="1:6" ht="12.75" customHeight="1" x14ac:dyDescent="0.4">
      <c r="A78" s="2">
        <v>62</v>
      </c>
      <c r="B78" s="21"/>
      <c r="C78" s="2"/>
      <c r="D78" s="22"/>
      <c r="E78" s="25"/>
      <c r="F78" s="26"/>
    </row>
    <row r="79" spans="1:6" ht="12.75" customHeight="1" x14ac:dyDescent="0.4">
      <c r="A79" s="2">
        <v>63</v>
      </c>
      <c r="B79" s="21"/>
      <c r="C79" s="2"/>
      <c r="D79" s="22"/>
      <c r="E79" s="25"/>
      <c r="F79" s="26"/>
    </row>
    <row r="80" spans="1:6" ht="12.75" customHeight="1" x14ac:dyDescent="0.4">
      <c r="A80" s="2">
        <v>64</v>
      </c>
      <c r="B80" s="21"/>
      <c r="C80" s="2"/>
      <c r="D80" s="22"/>
      <c r="E80" s="25"/>
      <c r="F80" s="26"/>
    </row>
    <row r="81" spans="1:6" ht="12.75" customHeight="1" x14ac:dyDescent="0.4">
      <c r="A81" s="2">
        <v>65</v>
      </c>
      <c r="B81" s="21"/>
      <c r="C81" s="2"/>
      <c r="D81" s="22"/>
      <c r="E81" s="25"/>
      <c r="F81" s="26"/>
    </row>
    <row r="82" spans="1:6" ht="12.75" customHeight="1" x14ac:dyDescent="0.4">
      <c r="A82" s="2">
        <v>66</v>
      </c>
      <c r="B82" s="21"/>
      <c r="C82" s="2"/>
      <c r="D82" s="22"/>
      <c r="E82" s="25"/>
      <c r="F82" s="26"/>
    </row>
    <row r="83" spans="1:6" ht="12.75" customHeight="1" x14ac:dyDescent="0.4">
      <c r="A83" s="2">
        <v>67</v>
      </c>
      <c r="B83" s="21"/>
      <c r="C83" s="2"/>
      <c r="D83" s="22"/>
      <c r="E83" s="25"/>
      <c r="F83" s="26"/>
    </row>
    <row r="84" spans="1:6" ht="12.75" customHeight="1" x14ac:dyDescent="0.4">
      <c r="A84" s="2">
        <v>68</v>
      </c>
      <c r="B84" s="21"/>
      <c r="C84" s="2"/>
      <c r="D84" s="22"/>
      <c r="E84" s="25"/>
      <c r="F84" s="26"/>
    </row>
    <row r="85" spans="1:6" ht="12.75" customHeight="1" x14ac:dyDescent="0.4">
      <c r="A85" s="2">
        <v>69</v>
      </c>
      <c r="B85" s="21"/>
      <c r="C85" s="2"/>
      <c r="D85" s="22"/>
      <c r="E85" s="25"/>
      <c r="F85" s="26"/>
    </row>
    <row r="86" spans="1:6" ht="12.75" customHeight="1" x14ac:dyDescent="0.4">
      <c r="A86" s="2">
        <v>70</v>
      </c>
      <c r="B86" s="21"/>
      <c r="C86" s="2"/>
      <c r="D86" s="22"/>
      <c r="E86" s="25"/>
      <c r="F86" s="26"/>
    </row>
    <row r="87" spans="1:6" ht="12.75" customHeight="1" x14ac:dyDescent="0.4">
      <c r="A87" s="2">
        <v>71</v>
      </c>
      <c r="B87" s="21"/>
      <c r="C87" s="2"/>
      <c r="D87" s="22"/>
      <c r="E87" s="25"/>
      <c r="F87" s="26"/>
    </row>
    <row r="88" spans="1:6" ht="12.75" customHeight="1" x14ac:dyDescent="0.4">
      <c r="A88" s="2">
        <v>72</v>
      </c>
      <c r="B88" s="21"/>
      <c r="C88" s="2"/>
      <c r="D88" s="22"/>
      <c r="E88" s="25"/>
      <c r="F88" s="26"/>
    </row>
    <row r="89" spans="1:6" ht="12.75" customHeight="1" x14ac:dyDescent="0.4">
      <c r="A89" s="2">
        <v>73</v>
      </c>
      <c r="B89" s="21"/>
      <c r="C89" s="2"/>
      <c r="D89" s="22"/>
      <c r="E89" s="25"/>
      <c r="F89" s="26"/>
    </row>
    <row r="90" spans="1:6" ht="12.75" customHeight="1" x14ac:dyDescent="0.4">
      <c r="A90" s="2">
        <v>74</v>
      </c>
      <c r="B90" s="21"/>
      <c r="C90" s="2"/>
      <c r="D90" s="22"/>
      <c r="E90" s="25"/>
      <c r="F90" s="26"/>
    </row>
    <row r="91" spans="1:6" ht="12.75" customHeight="1" x14ac:dyDescent="0.4">
      <c r="A91" s="2">
        <v>75</v>
      </c>
      <c r="B91" s="21"/>
      <c r="C91" s="2"/>
      <c r="D91" s="22"/>
      <c r="E91" s="25"/>
      <c r="F91" s="26"/>
    </row>
    <row r="92" spans="1:6" ht="12.75" customHeight="1" x14ac:dyDescent="0.4">
      <c r="A92" s="2">
        <v>76</v>
      </c>
      <c r="B92" s="21"/>
      <c r="C92" s="2"/>
      <c r="D92" s="22"/>
      <c r="E92" s="25"/>
      <c r="F92" s="26"/>
    </row>
    <row r="93" spans="1:6" ht="12.75" customHeight="1" x14ac:dyDescent="0.4">
      <c r="A93" s="2">
        <v>77</v>
      </c>
      <c r="B93" s="21"/>
      <c r="C93" s="2"/>
      <c r="D93" s="22"/>
      <c r="E93" s="25"/>
      <c r="F93" s="26"/>
    </row>
    <row r="94" spans="1:6" ht="12.75" customHeight="1" x14ac:dyDescent="0.4">
      <c r="A94" s="2">
        <v>78</v>
      </c>
      <c r="B94" s="21"/>
      <c r="C94" s="2"/>
      <c r="D94" s="22"/>
      <c r="E94" s="25"/>
      <c r="F94" s="26"/>
    </row>
    <row r="95" spans="1:6" ht="12.75" customHeight="1" x14ac:dyDescent="0.4">
      <c r="A95" s="2">
        <v>79</v>
      </c>
      <c r="B95" s="21"/>
      <c r="C95" s="2"/>
      <c r="D95" s="22"/>
      <c r="E95" s="25"/>
      <c r="F95" s="26"/>
    </row>
    <row r="96" spans="1:6" ht="12.75" customHeight="1" x14ac:dyDescent="0.4">
      <c r="A96" s="2">
        <v>80</v>
      </c>
      <c r="B96" s="21"/>
      <c r="C96" s="2"/>
      <c r="D96" s="22"/>
      <c r="E96" s="25"/>
      <c r="F96" s="26"/>
    </row>
    <row r="97" spans="1:6" ht="12.75" customHeight="1" x14ac:dyDescent="0.4">
      <c r="A97" s="2">
        <v>81</v>
      </c>
      <c r="B97" s="21"/>
      <c r="C97" s="2"/>
      <c r="D97" s="22"/>
      <c r="E97" s="25"/>
      <c r="F97" s="26"/>
    </row>
    <row r="98" spans="1:6" ht="12.75" customHeight="1" x14ac:dyDescent="0.4">
      <c r="A98" s="2">
        <v>82</v>
      </c>
      <c r="B98" s="21"/>
      <c r="C98" s="2"/>
      <c r="D98" s="22"/>
      <c r="E98" s="25"/>
      <c r="F98" s="26"/>
    </row>
    <row r="99" spans="1:6" ht="12.75" customHeight="1" x14ac:dyDescent="0.4">
      <c r="A99" s="2">
        <v>83</v>
      </c>
      <c r="B99" s="21"/>
      <c r="C99" s="2"/>
      <c r="D99" s="22"/>
      <c r="E99" s="25"/>
      <c r="F99" s="26"/>
    </row>
    <row r="100" spans="1:6" ht="12.75" customHeight="1" x14ac:dyDescent="0.4">
      <c r="A100" s="2">
        <v>84</v>
      </c>
      <c r="B100" s="21"/>
      <c r="C100" s="2"/>
      <c r="D100" s="22"/>
      <c r="E100" s="25"/>
      <c r="F100" s="26"/>
    </row>
    <row r="101" spans="1:6" ht="12.75" customHeight="1" x14ac:dyDescent="0.4"/>
    <row r="102" spans="1:6" ht="12.75" customHeight="1" x14ac:dyDescent="0.4"/>
    <row r="103" spans="1:6" ht="12.75" customHeight="1" x14ac:dyDescent="0.4"/>
    <row r="104" spans="1:6" ht="12.75" customHeight="1" x14ac:dyDescent="0.4"/>
    <row r="105" spans="1:6" ht="12.75" customHeight="1" x14ac:dyDescent="0.4"/>
    <row r="106" spans="1:6" ht="12.75" customHeight="1" x14ac:dyDescent="0.4"/>
    <row r="107" spans="1:6" ht="12.75" customHeight="1" x14ac:dyDescent="0.4"/>
    <row r="108" spans="1:6" ht="12.75" customHeight="1" x14ac:dyDescent="0.4"/>
    <row r="109" spans="1:6" ht="12.75" customHeight="1" x14ac:dyDescent="0.4"/>
    <row r="110" spans="1:6" ht="12.75" customHeight="1" x14ac:dyDescent="0.4"/>
    <row r="111" spans="1:6" ht="12.75" customHeight="1" x14ac:dyDescent="0.4"/>
    <row r="112" spans="1:6" ht="12.75" customHeight="1" x14ac:dyDescent="0.4"/>
    <row r="113" ht="12.75" customHeight="1" x14ac:dyDescent="0.4"/>
    <row r="114" ht="12.75" customHeight="1" x14ac:dyDescent="0.4"/>
    <row r="115" ht="12.75" customHeight="1" x14ac:dyDescent="0.4"/>
    <row r="116" ht="12.75" customHeight="1" x14ac:dyDescent="0.4"/>
    <row r="117" ht="12.75" customHeight="1" x14ac:dyDescent="0.4"/>
    <row r="118" ht="12.75" customHeight="1" x14ac:dyDescent="0.4"/>
    <row r="119" ht="12.75" customHeight="1" x14ac:dyDescent="0.4"/>
    <row r="120" ht="12.75" customHeight="1" x14ac:dyDescent="0.4"/>
    <row r="121" ht="12.75" customHeight="1" x14ac:dyDescent="0.4"/>
    <row r="122" ht="12.75" customHeight="1" x14ac:dyDescent="0.4"/>
    <row r="123" ht="12.75" customHeight="1" x14ac:dyDescent="0.4"/>
    <row r="124" ht="12.75" customHeight="1" x14ac:dyDescent="0.4"/>
    <row r="125" ht="12.75" customHeight="1" x14ac:dyDescent="0.4"/>
    <row r="126" ht="12.75" customHeight="1" x14ac:dyDescent="0.4"/>
    <row r="127" ht="12.75" customHeight="1" x14ac:dyDescent="0.4"/>
    <row r="128" ht="12.75" customHeight="1" x14ac:dyDescent="0.4"/>
    <row r="129" ht="12.75" customHeight="1" x14ac:dyDescent="0.4"/>
    <row r="130" ht="12.75" customHeight="1" x14ac:dyDescent="0.4"/>
    <row r="131" ht="12.75" customHeight="1" x14ac:dyDescent="0.4"/>
    <row r="132" ht="12.75" customHeight="1" x14ac:dyDescent="0.4"/>
    <row r="133" ht="12.75" customHeight="1" x14ac:dyDescent="0.4"/>
    <row r="134" ht="12.75" customHeight="1" x14ac:dyDescent="0.4"/>
    <row r="135" ht="12.75" customHeight="1" x14ac:dyDescent="0.4"/>
    <row r="136" ht="12.75" customHeight="1" x14ac:dyDescent="0.4"/>
    <row r="137" ht="12.75" customHeight="1" x14ac:dyDescent="0.4"/>
    <row r="138" ht="12.75" customHeight="1" x14ac:dyDescent="0.4"/>
    <row r="139" ht="12.75" customHeight="1" x14ac:dyDescent="0.4"/>
    <row r="140" ht="12.75" customHeight="1" x14ac:dyDescent="0.4"/>
    <row r="141" ht="12.75" customHeight="1" x14ac:dyDescent="0.4"/>
    <row r="142" ht="12.75" customHeight="1" x14ac:dyDescent="0.4"/>
    <row r="143" ht="12.75" customHeight="1" x14ac:dyDescent="0.4"/>
    <row r="144" ht="12.75" customHeight="1" x14ac:dyDescent="0.4"/>
    <row r="145" ht="12.75" customHeight="1" x14ac:dyDescent="0.4"/>
    <row r="146" ht="12.75" customHeight="1" x14ac:dyDescent="0.4"/>
    <row r="147" ht="12.75" customHeight="1" x14ac:dyDescent="0.4"/>
    <row r="148" ht="12.75" customHeight="1" x14ac:dyDescent="0.4"/>
    <row r="149" ht="12.75" customHeight="1" x14ac:dyDescent="0.4"/>
    <row r="150" ht="12.75" customHeight="1" x14ac:dyDescent="0.4"/>
    <row r="151" ht="12.75" customHeight="1" x14ac:dyDescent="0.4"/>
    <row r="152" ht="12.75" customHeight="1" x14ac:dyDescent="0.4"/>
    <row r="153" ht="12.75" customHeight="1" x14ac:dyDescent="0.4"/>
    <row r="154" ht="12.75" customHeight="1" x14ac:dyDescent="0.4"/>
    <row r="155" ht="12.75" customHeight="1" x14ac:dyDescent="0.4"/>
    <row r="156" ht="12.75" customHeight="1" x14ac:dyDescent="0.4"/>
    <row r="157" ht="12.75" customHeight="1" x14ac:dyDescent="0.4"/>
    <row r="158" ht="12.75" customHeight="1" x14ac:dyDescent="0.4"/>
    <row r="159" ht="12.75" customHeight="1" x14ac:dyDescent="0.4"/>
    <row r="160" ht="12.75" customHeight="1" x14ac:dyDescent="0.4"/>
    <row r="161" ht="12.75" customHeight="1" x14ac:dyDescent="0.4"/>
    <row r="162" ht="12.75" customHeight="1" x14ac:dyDescent="0.4"/>
    <row r="163" ht="12.75" customHeight="1" x14ac:dyDescent="0.4"/>
    <row r="164" ht="12.75" customHeight="1" x14ac:dyDescent="0.4"/>
    <row r="165" ht="12.75" customHeight="1" x14ac:dyDescent="0.4"/>
    <row r="166" ht="12.75" customHeight="1" x14ac:dyDescent="0.4"/>
    <row r="167" ht="12.75" customHeight="1" x14ac:dyDescent="0.4"/>
    <row r="168" ht="12.75" customHeight="1" x14ac:dyDescent="0.4"/>
    <row r="169" ht="12.75" customHeight="1" x14ac:dyDescent="0.4"/>
    <row r="170" ht="12.75" customHeight="1" x14ac:dyDescent="0.4"/>
    <row r="171" ht="12.75" customHeight="1" x14ac:dyDescent="0.4"/>
    <row r="172" ht="12.75" customHeight="1" x14ac:dyDescent="0.4"/>
    <row r="173" ht="12.75" customHeight="1" x14ac:dyDescent="0.4"/>
    <row r="174" ht="12.75" customHeight="1" x14ac:dyDescent="0.4"/>
    <row r="175" ht="12.75" customHeight="1" x14ac:dyDescent="0.4"/>
    <row r="176" ht="12.75" customHeight="1" x14ac:dyDescent="0.4"/>
    <row r="177" ht="12.75" customHeight="1" x14ac:dyDescent="0.4"/>
    <row r="178" ht="12.75" customHeight="1" x14ac:dyDescent="0.4"/>
    <row r="179" ht="12.75" customHeight="1" x14ac:dyDescent="0.4"/>
    <row r="180" ht="12.75" customHeight="1" x14ac:dyDescent="0.4"/>
    <row r="181" ht="12.75" customHeight="1" x14ac:dyDescent="0.4"/>
    <row r="182" ht="12.75" customHeight="1" x14ac:dyDescent="0.4"/>
    <row r="183" ht="12.75" customHeight="1" x14ac:dyDescent="0.4"/>
    <row r="184" ht="12.75" customHeight="1" x14ac:dyDescent="0.4"/>
    <row r="185" ht="12.75" customHeight="1" x14ac:dyDescent="0.4"/>
    <row r="186" ht="12.75" customHeight="1" x14ac:dyDescent="0.4"/>
    <row r="187" ht="12.75" customHeight="1" x14ac:dyDescent="0.4"/>
    <row r="188" ht="12.75" customHeight="1" x14ac:dyDescent="0.4"/>
    <row r="189" ht="12.75" customHeight="1" x14ac:dyDescent="0.4"/>
    <row r="190" ht="12.75" customHeight="1" x14ac:dyDescent="0.4"/>
    <row r="191" ht="12.75" customHeight="1" x14ac:dyDescent="0.4"/>
    <row r="192" ht="12.75" customHeight="1" x14ac:dyDescent="0.4"/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dataValidations count="2">
    <dataValidation type="list" allowBlank="1" showInputMessage="1" showErrorMessage="1" promptTitle="Implementation Status" prompt="Leave blank until task is begun._x000a_Select &quot;In Work&quot; when started (for long tasks only)._x000a_Select Completed ONLY when this task is done._x000a_    Select &quot;Completed Day 1&quot; if finished on the first day, and_x000a_    similarly for &quot;Completed on Day 2&quot; et. al." sqref="E17:E100" xr:uid="{00000000-0002-0000-0200-000001000000}">
      <formula1>"In Work,Completed Day 1,Completed Day 2,Completed Day 3,Completed Day 4,Completed Day 5,Completed Day 6,Completed Day 7"</formula1>
    </dataValidation>
    <dataValidation type="list" allowBlank="1" showInputMessage="1" showErrorMessage="1" prompt="Select Feature ID from Product Backlog - Exactly ONE team member may be responsible for any task, and they will receive grade credit for their work._x000a__x000a_If you have more than one person on your team, each member MUST select their initials for each task the a" sqref="C17:C100" xr:uid="{00000000-0002-0000-0200-000002000000}">
      <formula1>#REF!</formula1>
    </dataValidation>
  </dataValidations>
  <pageMargins left="0.78749999999999998" right="0.78749999999999998" top="1.0249999999999999" bottom="1.0249999999999999" header="0" footer="0"/>
  <pageSetup orientation="portrait"/>
  <headerFooter>
    <oddHeader>&amp;C&amp;A</oddHeader>
    <oddFooter>&amp;CPage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elect Feature ID from Product Backlog - The list contains the Feature IDs from the same column on the Product Backlog tab._x000a__x000a_For each (ahem) Feature ID, create one or more rows in this table representing the tasks you need to complete to implement that fe" xr:uid="{00000000-0002-0000-0200-000000000000}">
          <x14:formula1>
            <xm:f>'Product Backlog'!$A$24:$A$95</xm:f>
          </x14:formula1>
          <xm:sqref>B17:B100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4"/>
  <cols>
    <col min="1" max="1" width="10.27734375" customWidth="1"/>
    <col min="2" max="2" width="11.5546875" customWidth="1"/>
    <col min="3" max="3" width="12.27734375" customWidth="1"/>
    <col min="4" max="4" width="51.83203125" customWidth="1"/>
    <col min="5" max="5" width="17.71875" customWidth="1"/>
    <col min="6" max="6" width="51.83203125" customWidth="1"/>
    <col min="7" max="26" width="11.5546875" customWidth="1"/>
  </cols>
  <sheetData>
    <row r="1" spans="1:26" ht="12.75" customHeight="1" x14ac:dyDescent="0.6">
      <c r="A1" s="1" t="s">
        <v>0</v>
      </c>
      <c r="B1" s="1">
        <f>'Sprint 02 Backlog'!B1+1</f>
        <v>3</v>
      </c>
      <c r="C1" s="1"/>
      <c r="D1" s="3" t="s">
        <v>2</v>
      </c>
      <c r="F1" s="1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4">
      <c r="A2" s="1" t="s">
        <v>4</v>
      </c>
      <c r="B2" s="9">
        <f>'Sprint 02 Backlog'!B2+7</f>
        <v>43921</v>
      </c>
      <c r="C2" s="1"/>
      <c r="D2" s="10" t="s">
        <v>5</v>
      </c>
      <c r="E2" s="1"/>
      <c r="F2" s="1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4">
      <c r="A3" s="1" t="s">
        <v>7</v>
      </c>
      <c r="B3" s="9">
        <f>B2+7</f>
        <v>43928</v>
      </c>
      <c r="C3" s="1"/>
      <c r="D3" s="1"/>
      <c r="E3" s="1"/>
      <c r="F3" s="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4">
      <c r="A4" s="1" t="s">
        <v>8</v>
      </c>
      <c r="B4" s="11" t="s">
        <v>9</v>
      </c>
      <c r="C4" s="1"/>
      <c r="D4" s="1"/>
      <c r="E4" s="1"/>
      <c r="F4" s="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4">
      <c r="A5" s="1"/>
      <c r="B5" s="11"/>
      <c r="C5" s="1"/>
      <c r="D5" s="1"/>
      <c r="E5" s="1"/>
      <c r="F5" s="1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4">
      <c r="A6" s="1"/>
      <c r="B6" s="12" t="s">
        <v>14</v>
      </c>
      <c r="C6" s="1" t="s">
        <v>15</v>
      </c>
      <c r="D6" s="1"/>
      <c r="E6" s="1"/>
      <c r="F6" s="1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4">
      <c r="A7" s="1" t="s">
        <v>16</v>
      </c>
      <c r="B7" s="1">
        <f>COUNTA(D17:D995)</f>
        <v>1</v>
      </c>
      <c r="C7" s="1"/>
      <c r="D7" s="1"/>
      <c r="E7" s="1"/>
      <c r="F7" s="1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4">
      <c r="A8" s="1" t="s">
        <v>17</v>
      </c>
      <c r="B8" s="1">
        <f t="shared" ref="B8:B14" si="0">B7-C8</f>
        <v>1</v>
      </c>
      <c r="C8" s="1">
        <f>COUNTIF(E$17:E$995, "Completed Day 1")</f>
        <v>0</v>
      </c>
      <c r="D8" s="1"/>
      <c r="E8" s="1"/>
      <c r="F8" s="1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4">
      <c r="A9" s="1" t="s">
        <v>18</v>
      </c>
      <c r="B9" s="1">
        <f t="shared" si="0"/>
        <v>1</v>
      </c>
      <c r="C9" s="1">
        <f>COUNTIF(E$17:E$995, "Completed Day 2")</f>
        <v>0</v>
      </c>
      <c r="D9" s="1"/>
      <c r="E9" s="1"/>
      <c r="F9" s="1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4">
      <c r="A10" s="1" t="s">
        <v>19</v>
      </c>
      <c r="B10" s="1">
        <f t="shared" si="0"/>
        <v>1</v>
      </c>
      <c r="C10" s="1">
        <f>COUNTIF(E$17:E$995, "Completed Day 3")</f>
        <v>0</v>
      </c>
      <c r="D10" s="1"/>
      <c r="E10" s="1"/>
      <c r="F10" s="1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4">
      <c r="A11" s="1" t="s">
        <v>20</v>
      </c>
      <c r="B11" s="1">
        <f t="shared" si="0"/>
        <v>1</v>
      </c>
      <c r="C11" s="1">
        <f>COUNTIF(E$17:E$995, "Completed Day 4")</f>
        <v>0</v>
      </c>
      <c r="D11" s="1"/>
      <c r="E11" s="1"/>
      <c r="F11" s="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4">
      <c r="A12" s="1" t="s">
        <v>23</v>
      </c>
      <c r="B12" s="1">
        <f t="shared" si="0"/>
        <v>1</v>
      </c>
      <c r="C12" s="1">
        <f>COUNTIF(E$17:E$995, "Completed Day 5")</f>
        <v>0</v>
      </c>
      <c r="D12" s="1"/>
      <c r="E12" s="1"/>
      <c r="F12" s="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4">
      <c r="A13" s="1" t="s">
        <v>25</v>
      </c>
      <c r="B13" s="1">
        <f t="shared" si="0"/>
        <v>1</v>
      </c>
      <c r="C13" s="1">
        <f>COUNTIF(E$17:E$995, "Completed Day 6")</f>
        <v>0</v>
      </c>
      <c r="D13" s="1"/>
      <c r="E13" s="1"/>
      <c r="F13" s="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4">
      <c r="A14" s="1" t="s">
        <v>28</v>
      </c>
      <c r="B14" s="1">
        <f t="shared" si="0"/>
        <v>1</v>
      </c>
      <c r="C14" s="1">
        <f>COUNTIF(E$17:E$995, "Completed Day 7")</f>
        <v>0</v>
      </c>
      <c r="D14" s="1"/>
      <c r="E14" s="1"/>
      <c r="F14" s="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4">
      <c r="A15" s="1"/>
      <c r="B15" s="1"/>
      <c r="C15" s="1"/>
      <c r="D15" s="1"/>
      <c r="E15" s="1"/>
      <c r="F15" s="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4">
      <c r="A16" s="19" t="s">
        <v>30</v>
      </c>
      <c r="B16" s="19" t="s">
        <v>31</v>
      </c>
      <c r="C16" s="19" t="s">
        <v>32</v>
      </c>
      <c r="D16" s="19" t="s">
        <v>33</v>
      </c>
      <c r="E16" s="19" t="s">
        <v>34</v>
      </c>
      <c r="F16" s="19" t="s">
        <v>35</v>
      </c>
    </row>
    <row r="17" spans="1:6" ht="12.75" customHeight="1" x14ac:dyDescent="0.4">
      <c r="A17" s="2">
        <v>1</v>
      </c>
      <c r="B17" s="21"/>
      <c r="C17" s="2"/>
      <c r="D17" s="23" t="s">
        <v>39</v>
      </c>
      <c r="E17" s="25"/>
      <c r="F17" s="26"/>
    </row>
    <row r="18" spans="1:6" ht="12.75" customHeight="1" x14ac:dyDescent="0.4">
      <c r="A18" s="2">
        <v>2</v>
      </c>
      <c r="B18" s="21"/>
      <c r="C18" s="2"/>
      <c r="D18" s="22"/>
      <c r="E18" s="25"/>
      <c r="F18" s="26"/>
    </row>
    <row r="19" spans="1:6" ht="12.75" customHeight="1" x14ac:dyDescent="0.4">
      <c r="A19" s="2">
        <v>3</v>
      </c>
      <c r="B19" s="21"/>
      <c r="C19" s="2"/>
      <c r="D19" s="22"/>
      <c r="E19" s="25"/>
      <c r="F19" s="26"/>
    </row>
    <row r="20" spans="1:6" ht="12.75" customHeight="1" x14ac:dyDescent="0.4">
      <c r="A20" s="2">
        <v>4</v>
      </c>
      <c r="B20" s="21"/>
      <c r="C20" s="2"/>
      <c r="D20" s="22"/>
      <c r="E20" s="25"/>
      <c r="F20" s="26"/>
    </row>
    <row r="21" spans="1:6" ht="12.75" customHeight="1" x14ac:dyDescent="0.4">
      <c r="A21" s="2">
        <v>5</v>
      </c>
      <c r="B21" s="21"/>
      <c r="C21" s="2"/>
      <c r="D21" s="22"/>
      <c r="E21" s="25"/>
      <c r="F21" s="26"/>
    </row>
    <row r="22" spans="1:6" ht="12.75" customHeight="1" x14ac:dyDescent="0.4">
      <c r="A22" s="2">
        <v>6</v>
      </c>
      <c r="B22" s="21"/>
      <c r="C22" s="2"/>
      <c r="D22" s="22"/>
      <c r="E22" s="25"/>
      <c r="F22" s="26"/>
    </row>
    <row r="23" spans="1:6" ht="12.75" customHeight="1" x14ac:dyDescent="0.4">
      <c r="A23" s="2">
        <v>7</v>
      </c>
      <c r="B23" s="21"/>
      <c r="C23" s="2"/>
      <c r="D23" s="22"/>
      <c r="E23" s="25"/>
      <c r="F23" s="26"/>
    </row>
    <row r="24" spans="1:6" ht="12.75" customHeight="1" x14ac:dyDescent="0.4">
      <c r="A24" s="2">
        <v>8</v>
      </c>
      <c r="B24" s="21"/>
      <c r="C24" s="2"/>
      <c r="D24" s="22"/>
      <c r="E24" s="25"/>
      <c r="F24" s="26"/>
    </row>
    <row r="25" spans="1:6" ht="12.75" customHeight="1" x14ac:dyDescent="0.4">
      <c r="A25" s="2">
        <v>9</v>
      </c>
      <c r="B25" s="21"/>
      <c r="C25" s="2"/>
      <c r="D25" s="22"/>
      <c r="E25" s="25"/>
      <c r="F25" s="26"/>
    </row>
    <row r="26" spans="1:6" ht="12.75" customHeight="1" x14ac:dyDescent="0.4">
      <c r="A26" s="2">
        <v>10</v>
      </c>
      <c r="B26" s="21"/>
      <c r="C26" s="2"/>
      <c r="D26" s="22"/>
      <c r="E26" s="25"/>
      <c r="F26" s="26"/>
    </row>
    <row r="27" spans="1:6" ht="12.75" customHeight="1" x14ac:dyDescent="0.4">
      <c r="A27" s="2">
        <v>11</v>
      </c>
      <c r="B27" s="21"/>
      <c r="C27" s="2"/>
      <c r="D27" s="22"/>
      <c r="E27" s="25"/>
      <c r="F27" s="26"/>
    </row>
    <row r="28" spans="1:6" ht="12.75" customHeight="1" x14ac:dyDescent="0.4">
      <c r="A28" s="2">
        <v>12</v>
      </c>
      <c r="B28" s="21"/>
      <c r="C28" s="2"/>
      <c r="D28" s="22"/>
      <c r="E28" s="25"/>
      <c r="F28" s="26"/>
    </row>
    <row r="29" spans="1:6" ht="12.75" customHeight="1" x14ac:dyDescent="0.4">
      <c r="A29" s="2">
        <v>13</v>
      </c>
      <c r="B29" s="21"/>
      <c r="C29" s="2"/>
      <c r="D29" s="22"/>
      <c r="E29" s="25"/>
      <c r="F29" s="26"/>
    </row>
    <row r="30" spans="1:6" ht="12.75" customHeight="1" x14ac:dyDescent="0.4">
      <c r="A30" s="2">
        <v>14</v>
      </c>
      <c r="B30" s="21"/>
      <c r="C30" s="2"/>
      <c r="D30" s="22"/>
      <c r="E30" s="25"/>
      <c r="F30" s="26"/>
    </row>
    <row r="31" spans="1:6" ht="12.75" customHeight="1" x14ac:dyDescent="0.4">
      <c r="A31" s="2">
        <v>15</v>
      </c>
      <c r="B31" s="21"/>
      <c r="C31" s="2"/>
      <c r="D31" s="22"/>
      <c r="E31" s="25"/>
      <c r="F31" s="26"/>
    </row>
    <row r="32" spans="1:6" ht="12.75" customHeight="1" x14ac:dyDescent="0.4">
      <c r="A32" s="2">
        <v>16</v>
      </c>
      <c r="B32" s="21"/>
      <c r="C32" s="2"/>
      <c r="D32" s="22"/>
      <c r="E32" s="25"/>
      <c r="F32" s="26"/>
    </row>
    <row r="33" spans="1:6" ht="12.75" customHeight="1" x14ac:dyDescent="0.4">
      <c r="A33" s="2">
        <v>17</v>
      </c>
      <c r="B33" s="21"/>
      <c r="C33" s="2"/>
      <c r="D33" s="22"/>
      <c r="E33" s="25"/>
      <c r="F33" s="26"/>
    </row>
    <row r="34" spans="1:6" ht="12.75" customHeight="1" x14ac:dyDescent="0.4">
      <c r="A34" s="2">
        <v>18</v>
      </c>
      <c r="B34" s="21"/>
      <c r="C34" s="2"/>
      <c r="D34" s="22"/>
      <c r="E34" s="25"/>
      <c r="F34" s="26"/>
    </row>
    <row r="35" spans="1:6" ht="12.75" customHeight="1" x14ac:dyDescent="0.4">
      <c r="A35" s="2">
        <v>19</v>
      </c>
      <c r="B35" s="21"/>
      <c r="C35" s="2"/>
      <c r="D35" s="22"/>
      <c r="E35" s="25"/>
      <c r="F35" s="26"/>
    </row>
    <row r="36" spans="1:6" ht="12.75" customHeight="1" x14ac:dyDescent="0.4">
      <c r="A36" s="2">
        <v>20</v>
      </c>
      <c r="B36" s="21"/>
      <c r="C36" s="2"/>
      <c r="D36" s="22"/>
      <c r="E36" s="25"/>
      <c r="F36" s="26"/>
    </row>
    <row r="37" spans="1:6" ht="12.75" customHeight="1" x14ac:dyDescent="0.4">
      <c r="A37" s="2">
        <v>21</v>
      </c>
      <c r="B37" s="21"/>
      <c r="C37" s="2"/>
      <c r="D37" s="22"/>
      <c r="E37" s="25"/>
      <c r="F37" s="26"/>
    </row>
    <row r="38" spans="1:6" ht="12.75" customHeight="1" x14ac:dyDescent="0.4">
      <c r="A38" s="2">
        <v>22</v>
      </c>
      <c r="B38" s="21"/>
      <c r="C38" s="2"/>
      <c r="D38" s="22"/>
      <c r="E38" s="25"/>
      <c r="F38" s="26"/>
    </row>
    <row r="39" spans="1:6" ht="12.75" customHeight="1" x14ac:dyDescent="0.4">
      <c r="A39" s="2">
        <v>23</v>
      </c>
      <c r="B39" s="21"/>
      <c r="C39" s="2"/>
      <c r="D39" s="22"/>
      <c r="E39" s="25"/>
      <c r="F39" s="26"/>
    </row>
    <row r="40" spans="1:6" ht="12.75" customHeight="1" x14ac:dyDescent="0.4">
      <c r="A40" s="2">
        <v>24</v>
      </c>
      <c r="B40" s="21"/>
      <c r="C40" s="2"/>
      <c r="D40" s="22"/>
      <c r="E40" s="25"/>
      <c r="F40" s="26"/>
    </row>
    <row r="41" spans="1:6" ht="12.75" customHeight="1" x14ac:dyDescent="0.4">
      <c r="A41" s="2">
        <v>25</v>
      </c>
      <c r="B41" s="21"/>
      <c r="C41" s="2"/>
      <c r="D41" s="22"/>
      <c r="E41" s="25"/>
      <c r="F41" s="26"/>
    </row>
    <row r="42" spans="1:6" ht="12.75" customHeight="1" x14ac:dyDescent="0.4">
      <c r="A42" s="2">
        <v>26</v>
      </c>
      <c r="B42" s="21"/>
      <c r="C42" s="2"/>
      <c r="D42" s="22"/>
      <c r="E42" s="25"/>
      <c r="F42" s="26"/>
    </row>
    <row r="43" spans="1:6" ht="12.75" customHeight="1" x14ac:dyDescent="0.4">
      <c r="A43" s="2">
        <v>27</v>
      </c>
      <c r="B43" s="21"/>
      <c r="C43" s="2"/>
      <c r="D43" s="22"/>
      <c r="E43" s="25"/>
      <c r="F43" s="26"/>
    </row>
    <row r="44" spans="1:6" ht="12.75" customHeight="1" x14ac:dyDescent="0.4">
      <c r="A44" s="2">
        <v>28</v>
      </c>
      <c r="B44" s="21"/>
      <c r="C44" s="2"/>
      <c r="D44" s="22"/>
      <c r="E44" s="25"/>
      <c r="F44" s="26"/>
    </row>
    <row r="45" spans="1:6" ht="12.75" customHeight="1" x14ac:dyDescent="0.4">
      <c r="A45" s="2">
        <v>29</v>
      </c>
      <c r="B45" s="21"/>
      <c r="C45" s="2"/>
      <c r="D45" s="22"/>
      <c r="E45" s="25"/>
      <c r="F45" s="26"/>
    </row>
    <row r="46" spans="1:6" ht="12.75" customHeight="1" x14ac:dyDescent="0.4">
      <c r="A46" s="2">
        <v>30</v>
      </c>
      <c r="B46" s="21"/>
      <c r="C46" s="2"/>
      <c r="D46" s="22"/>
      <c r="E46" s="25"/>
      <c r="F46" s="26"/>
    </row>
    <row r="47" spans="1:6" ht="12.75" customHeight="1" x14ac:dyDescent="0.4">
      <c r="A47" s="2">
        <v>31</v>
      </c>
      <c r="B47" s="21"/>
      <c r="C47" s="2"/>
      <c r="D47" s="22"/>
      <c r="E47" s="25"/>
      <c r="F47" s="26"/>
    </row>
    <row r="48" spans="1:6" ht="12.75" customHeight="1" x14ac:dyDescent="0.4">
      <c r="A48" s="2">
        <v>32</v>
      </c>
      <c r="B48" s="21"/>
      <c r="C48" s="2"/>
      <c r="D48" s="22"/>
      <c r="E48" s="25"/>
      <c r="F48" s="26"/>
    </row>
    <row r="49" spans="1:6" ht="12.75" customHeight="1" x14ac:dyDescent="0.4">
      <c r="A49" s="2">
        <v>33</v>
      </c>
      <c r="B49" s="21"/>
      <c r="C49" s="2"/>
      <c r="D49" s="22"/>
      <c r="E49" s="25"/>
      <c r="F49" s="26"/>
    </row>
    <row r="50" spans="1:6" ht="12.75" customHeight="1" x14ac:dyDescent="0.4">
      <c r="A50" s="2">
        <v>34</v>
      </c>
      <c r="B50" s="21"/>
      <c r="C50" s="2"/>
      <c r="D50" s="22"/>
      <c r="E50" s="25"/>
      <c r="F50" s="26"/>
    </row>
    <row r="51" spans="1:6" ht="12.75" customHeight="1" x14ac:dyDescent="0.4">
      <c r="A51" s="2">
        <v>35</v>
      </c>
      <c r="B51" s="21"/>
      <c r="C51" s="2"/>
      <c r="D51" s="22"/>
      <c r="E51" s="25"/>
      <c r="F51" s="26"/>
    </row>
    <row r="52" spans="1:6" ht="12.75" customHeight="1" x14ac:dyDescent="0.4">
      <c r="A52" s="2">
        <v>36</v>
      </c>
      <c r="B52" s="21"/>
      <c r="C52" s="2"/>
      <c r="D52" s="22"/>
      <c r="E52" s="25"/>
      <c r="F52" s="26"/>
    </row>
    <row r="53" spans="1:6" ht="12.75" customHeight="1" x14ac:dyDescent="0.4">
      <c r="A53" s="2">
        <v>37</v>
      </c>
      <c r="B53" s="21"/>
      <c r="C53" s="2"/>
      <c r="D53" s="22"/>
      <c r="E53" s="25"/>
      <c r="F53" s="26"/>
    </row>
    <row r="54" spans="1:6" ht="12.75" customHeight="1" x14ac:dyDescent="0.4">
      <c r="A54" s="2">
        <v>38</v>
      </c>
      <c r="B54" s="21"/>
      <c r="C54" s="2"/>
      <c r="D54" s="22"/>
      <c r="E54" s="25"/>
      <c r="F54" s="26"/>
    </row>
    <row r="55" spans="1:6" ht="12.75" customHeight="1" x14ac:dyDescent="0.4">
      <c r="A55" s="2">
        <v>39</v>
      </c>
      <c r="B55" s="21"/>
      <c r="C55" s="2"/>
      <c r="D55" s="22"/>
      <c r="E55" s="25"/>
      <c r="F55" s="26"/>
    </row>
    <row r="56" spans="1:6" ht="12.75" customHeight="1" x14ac:dyDescent="0.4">
      <c r="A56" s="2">
        <v>40</v>
      </c>
      <c r="B56" s="21"/>
      <c r="C56" s="2"/>
      <c r="D56" s="22"/>
      <c r="E56" s="25"/>
      <c r="F56" s="26"/>
    </row>
    <row r="57" spans="1:6" ht="12.75" customHeight="1" x14ac:dyDescent="0.4">
      <c r="A57" s="2">
        <v>41</v>
      </c>
      <c r="B57" s="21"/>
      <c r="C57" s="2"/>
      <c r="D57" s="22"/>
      <c r="E57" s="25"/>
      <c r="F57" s="26"/>
    </row>
    <row r="58" spans="1:6" ht="12.75" customHeight="1" x14ac:dyDescent="0.4">
      <c r="A58" s="2">
        <v>42</v>
      </c>
      <c r="B58" s="21"/>
      <c r="C58" s="2"/>
      <c r="D58" s="22"/>
      <c r="E58" s="25"/>
      <c r="F58" s="26"/>
    </row>
    <row r="59" spans="1:6" ht="12.75" customHeight="1" x14ac:dyDescent="0.4">
      <c r="A59" s="2">
        <v>43</v>
      </c>
      <c r="B59" s="21"/>
      <c r="C59" s="2"/>
      <c r="D59" s="22"/>
      <c r="E59" s="25"/>
      <c r="F59" s="26"/>
    </row>
    <row r="60" spans="1:6" ht="12.75" customHeight="1" x14ac:dyDescent="0.4">
      <c r="A60" s="2">
        <v>44</v>
      </c>
      <c r="B60" s="21"/>
      <c r="C60" s="2"/>
      <c r="D60" s="22"/>
      <c r="E60" s="25"/>
      <c r="F60" s="26"/>
    </row>
    <row r="61" spans="1:6" ht="12.75" customHeight="1" x14ac:dyDescent="0.4">
      <c r="A61" s="2">
        <v>45</v>
      </c>
      <c r="B61" s="21"/>
      <c r="C61" s="2"/>
      <c r="D61" s="22"/>
      <c r="E61" s="25"/>
      <c r="F61" s="26"/>
    </row>
    <row r="62" spans="1:6" ht="12.75" customHeight="1" x14ac:dyDescent="0.4">
      <c r="A62" s="2">
        <v>46</v>
      </c>
      <c r="B62" s="21"/>
      <c r="C62" s="2"/>
      <c r="D62" s="22"/>
      <c r="E62" s="25"/>
      <c r="F62" s="26"/>
    </row>
    <row r="63" spans="1:6" ht="12.75" customHeight="1" x14ac:dyDescent="0.4">
      <c r="A63" s="2">
        <v>47</v>
      </c>
      <c r="B63" s="21"/>
      <c r="C63" s="2"/>
      <c r="D63" s="22"/>
      <c r="E63" s="25"/>
      <c r="F63" s="26"/>
    </row>
    <row r="64" spans="1:6" ht="12.75" customHeight="1" x14ac:dyDescent="0.4">
      <c r="A64" s="2">
        <v>48</v>
      </c>
      <c r="B64" s="21"/>
      <c r="C64" s="2"/>
      <c r="D64" s="22"/>
      <c r="E64" s="25"/>
      <c r="F64" s="26"/>
    </row>
    <row r="65" spans="1:6" ht="12.75" customHeight="1" x14ac:dyDescent="0.4">
      <c r="A65" s="2">
        <v>49</v>
      </c>
      <c r="B65" s="21"/>
      <c r="C65" s="2"/>
      <c r="D65" s="22"/>
      <c r="E65" s="25"/>
      <c r="F65" s="26"/>
    </row>
    <row r="66" spans="1:6" ht="12.75" customHeight="1" x14ac:dyDescent="0.4">
      <c r="A66" s="2">
        <v>50</v>
      </c>
      <c r="B66" s="21"/>
      <c r="C66" s="2"/>
      <c r="D66" s="22"/>
      <c r="E66" s="25"/>
      <c r="F66" s="26"/>
    </row>
    <row r="67" spans="1:6" ht="12.75" customHeight="1" x14ac:dyDescent="0.4">
      <c r="A67" s="2">
        <v>51</v>
      </c>
      <c r="B67" s="21"/>
      <c r="C67" s="2"/>
      <c r="D67" s="22"/>
      <c r="E67" s="25"/>
      <c r="F67" s="26"/>
    </row>
    <row r="68" spans="1:6" ht="12.75" customHeight="1" x14ac:dyDescent="0.4">
      <c r="A68" s="2">
        <v>52</v>
      </c>
      <c r="B68" s="21"/>
      <c r="C68" s="2"/>
      <c r="D68" s="22"/>
      <c r="E68" s="25"/>
      <c r="F68" s="26"/>
    </row>
    <row r="69" spans="1:6" ht="12.75" customHeight="1" x14ac:dyDescent="0.4">
      <c r="A69" s="2">
        <v>53</v>
      </c>
      <c r="B69" s="21"/>
      <c r="C69" s="2"/>
      <c r="D69" s="22"/>
      <c r="E69" s="25"/>
      <c r="F69" s="26"/>
    </row>
    <row r="70" spans="1:6" ht="12.75" customHeight="1" x14ac:dyDescent="0.4">
      <c r="A70" s="2">
        <v>54</v>
      </c>
      <c r="B70" s="21"/>
      <c r="C70" s="2"/>
      <c r="D70" s="22"/>
      <c r="E70" s="25"/>
      <c r="F70" s="26"/>
    </row>
    <row r="71" spans="1:6" ht="12.75" customHeight="1" x14ac:dyDescent="0.4">
      <c r="A71" s="2">
        <v>55</v>
      </c>
      <c r="B71" s="21"/>
      <c r="C71" s="2"/>
      <c r="D71" s="22"/>
      <c r="E71" s="25"/>
      <c r="F71" s="26"/>
    </row>
    <row r="72" spans="1:6" ht="12.75" customHeight="1" x14ac:dyDescent="0.4">
      <c r="A72" s="2">
        <v>56</v>
      </c>
      <c r="B72" s="21"/>
      <c r="C72" s="2"/>
      <c r="D72" s="22"/>
      <c r="E72" s="25"/>
      <c r="F72" s="26"/>
    </row>
    <row r="73" spans="1:6" ht="12.75" customHeight="1" x14ac:dyDescent="0.4">
      <c r="A73" s="2">
        <v>57</v>
      </c>
      <c r="B73" s="21"/>
      <c r="C73" s="2"/>
      <c r="D73" s="22"/>
      <c r="E73" s="25"/>
      <c r="F73" s="26"/>
    </row>
    <row r="74" spans="1:6" ht="12.75" customHeight="1" x14ac:dyDescent="0.4">
      <c r="A74" s="2">
        <v>58</v>
      </c>
      <c r="B74" s="21"/>
      <c r="C74" s="2"/>
      <c r="D74" s="22"/>
      <c r="E74" s="25"/>
      <c r="F74" s="26"/>
    </row>
    <row r="75" spans="1:6" ht="12.75" customHeight="1" x14ac:dyDescent="0.4">
      <c r="A75" s="2">
        <v>59</v>
      </c>
      <c r="B75" s="21"/>
      <c r="C75" s="2"/>
      <c r="D75" s="22"/>
      <c r="E75" s="25"/>
      <c r="F75" s="26"/>
    </row>
    <row r="76" spans="1:6" ht="12.75" customHeight="1" x14ac:dyDescent="0.4">
      <c r="A76" s="2">
        <v>60</v>
      </c>
      <c r="B76" s="21"/>
      <c r="C76" s="2"/>
      <c r="D76" s="22"/>
      <c r="E76" s="25"/>
      <c r="F76" s="26"/>
    </row>
    <row r="77" spans="1:6" ht="12.75" customHeight="1" x14ac:dyDescent="0.4">
      <c r="A77" s="2">
        <v>61</v>
      </c>
      <c r="B77" s="21"/>
      <c r="C77" s="2"/>
      <c r="D77" s="22"/>
      <c r="E77" s="25"/>
      <c r="F77" s="26"/>
    </row>
    <row r="78" spans="1:6" ht="12.75" customHeight="1" x14ac:dyDescent="0.4">
      <c r="A78" s="2">
        <v>62</v>
      </c>
      <c r="B78" s="21"/>
      <c r="C78" s="2"/>
      <c r="D78" s="22"/>
      <c r="E78" s="25"/>
      <c r="F78" s="26"/>
    </row>
    <row r="79" spans="1:6" ht="12.75" customHeight="1" x14ac:dyDescent="0.4">
      <c r="A79" s="2">
        <v>63</v>
      </c>
      <c r="B79" s="21"/>
      <c r="C79" s="2"/>
      <c r="D79" s="22"/>
      <c r="E79" s="25"/>
      <c r="F79" s="26"/>
    </row>
    <row r="80" spans="1:6" ht="12.75" customHeight="1" x14ac:dyDescent="0.4">
      <c r="A80" s="2">
        <v>64</v>
      </c>
      <c r="B80" s="21"/>
      <c r="C80" s="2"/>
      <c r="D80" s="22"/>
      <c r="E80" s="25"/>
      <c r="F80" s="26"/>
    </row>
    <row r="81" spans="1:6" ht="12.75" customHeight="1" x14ac:dyDescent="0.4">
      <c r="A81" s="2">
        <v>65</v>
      </c>
      <c r="B81" s="21"/>
      <c r="C81" s="2"/>
      <c r="D81" s="22"/>
      <c r="E81" s="25"/>
      <c r="F81" s="26"/>
    </row>
    <row r="82" spans="1:6" ht="12.75" customHeight="1" x14ac:dyDescent="0.4">
      <c r="A82" s="2">
        <v>66</v>
      </c>
      <c r="B82" s="21"/>
      <c r="C82" s="2"/>
      <c r="D82" s="22"/>
      <c r="E82" s="25"/>
      <c r="F82" s="26"/>
    </row>
    <row r="83" spans="1:6" ht="12.75" customHeight="1" x14ac:dyDescent="0.4">
      <c r="A83" s="2">
        <v>67</v>
      </c>
      <c r="B83" s="21"/>
      <c r="C83" s="2"/>
      <c r="D83" s="22"/>
      <c r="E83" s="25"/>
      <c r="F83" s="26"/>
    </row>
    <row r="84" spans="1:6" ht="12.75" customHeight="1" x14ac:dyDescent="0.4">
      <c r="A84" s="2">
        <v>68</v>
      </c>
      <c r="B84" s="21"/>
      <c r="C84" s="2"/>
      <c r="D84" s="22"/>
      <c r="E84" s="25"/>
      <c r="F84" s="26"/>
    </row>
    <row r="85" spans="1:6" ht="12.75" customHeight="1" x14ac:dyDescent="0.4">
      <c r="A85" s="2">
        <v>69</v>
      </c>
      <c r="B85" s="21"/>
      <c r="C85" s="2"/>
      <c r="D85" s="22"/>
      <c r="E85" s="25"/>
      <c r="F85" s="26"/>
    </row>
    <row r="86" spans="1:6" ht="12.75" customHeight="1" x14ac:dyDescent="0.4">
      <c r="A86" s="2">
        <v>70</v>
      </c>
      <c r="B86" s="21"/>
      <c r="C86" s="2"/>
      <c r="D86" s="22"/>
      <c r="E86" s="25"/>
      <c r="F86" s="26"/>
    </row>
    <row r="87" spans="1:6" ht="12.75" customHeight="1" x14ac:dyDescent="0.4">
      <c r="A87" s="2">
        <v>71</v>
      </c>
      <c r="B87" s="21"/>
      <c r="C87" s="2"/>
      <c r="D87" s="22"/>
      <c r="E87" s="25"/>
      <c r="F87" s="26"/>
    </row>
    <row r="88" spans="1:6" ht="12.75" customHeight="1" x14ac:dyDescent="0.4">
      <c r="A88" s="2">
        <v>72</v>
      </c>
      <c r="B88" s="21"/>
      <c r="C88" s="2"/>
      <c r="D88" s="22"/>
      <c r="E88" s="25"/>
      <c r="F88" s="26"/>
    </row>
    <row r="89" spans="1:6" ht="12.75" customHeight="1" x14ac:dyDescent="0.4">
      <c r="A89" s="2">
        <v>73</v>
      </c>
      <c r="B89" s="21"/>
      <c r="C89" s="2"/>
      <c r="D89" s="22"/>
      <c r="E89" s="25"/>
      <c r="F89" s="26"/>
    </row>
    <row r="90" spans="1:6" ht="12.75" customHeight="1" x14ac:dyDescent="0.4">
      <c r="A90" s="2">
        <v>74</v>
      </c>
      <c r="B90" s="21"/>
      <c r="C90" s="2"/>
      <c r="D90" s="22"/>
      <c r="E90" s="25"/>
      <c r="F90" s="26"/>
    </row>
    <row r="91" spans="1:6" ht="12.75" customHeight="1" x14ac:dyDescent="0.4">
      <c r="A91" s="2">
        <v>75</v>
      </c>
      <c r="B91" s="21"/>
      <c r="C91" s="2"/>
      <c r="D91" s="22"/>
      <c r="E91" s="25"/>
      <c r="F91" s="26"/>
    </row>
    <row r="92" spans="1:6" ht="12.75" customHeight="1" x14ac:dyDescent="0.4">
      <c r="A92" s="2">
        <v>76</v>
      </c>
      <c r="B92" s="21"/>
      <c r="C92" s="2"/>
      <c r="D92" s="22"/>
      <c r="E92" s="25"/>
      <c r="F92" s="26"/>
    </row>
    <row r="93" spans="1:6" ht="12.75" customHeight="1" x14ac:dyDescent="0.4">
      <c r="A93" s="2">
        <v>77</v>
      </c>
      <c r="B93" s="21"/>
      <c r="C93" s="2"/>
      <c r="D93" s="22"/>
      <c r="E93" s="25"/>
      <c r="F93" s="26"/>
    </row>
    <row r="94" spans="1:6" ht="12.75" customHeight="1" x14ac:dyDescent="0.4">
      <c r="A94" s="2">
        <v>78</v>
      </c>
      <c r="B94" s="21"/>
      <c r="C94" s="2"/>
      <c r="D94" s="22"/>
      <c r="E94" s="25"/>
      <c r="F94" s="26"/>
    </row>
    <row r="95" spans="1:6" ht="12.75" customHeight="1" x14ac:dyDescent="0.4">
      <c r="A95" s="2">
        <v>79</v>
      </c>
      <c r="B95" s="21"/>
      <c r="C95" s="2"/>
      <c r="D95" s="22"/>
      <c r="E95" s="25"/>
      <c r="F95" s="26"/>
    </row>
    <row r="96" spans="1:6" ht="12.75" customHeight="1" x14ac:dyDescent="0.4">
      <c r="A96" s="2">
        <v>80</v>
      </c>
      <c r="B96" s="21"/>
      <c r="C96" s="2"/>
      <c r="D96" s="22"/>
      <c r="E96" s="25"/>
      <c r="F96" s="26"/>
    </row>
    <row r="97" spans="1:6" ht="12.75" customHeight="1" x14ac:dyDescent="0.4">
      <c r="A97" s="2">
        <v>81</v>
      </c>
      <c r="B97" s="21"/>
      <c r="C97" s="2"/>
      <c r="D97" s="22"/>
      <c r="E97" s="25"/>
      <c r="F97" s="26"/>
    </row>
    <row r="98" spans="1:6" ht="12.75" customHeight="1" x14ac:dyDescent="0.4">
      <c r="A98" s="2">
        <v>82</v>
      </c>
      <c r="B98" s="21"/>
      <c r="C98" s="2"/>
      <c r="D98" s="22"/>
      <c r="E98" s="25"/>
      <c r="F98" s="26"/>
    </row>
    <row r="99" spans="1:6" ht="12.75" customHeight="1" x14ac:dyDescent="0.4">
      <c r="A99" s="2">
        <v>83</v>
      </c>
      <c r="B99" s="21"/>
      <c r="C99" s="2"/>
      <c r="D99" s="22"/>
      <c r="E99" s="25"/>
      <c r="F99" s="26"/>
    </row>
    <row r="100" spans="1:6" ht="12.75" customHeight="1" x14ac:dyDescent="0.4">
      <c r="A100" s="2">
        <v>84</v>
      </c>
      <c r="B100" s="21"/>
      <c r="C100" s="2"/>
      <c r="D100" s="22"/>
      <c r="E100" s="25"/>
      <c r="F100" s="26"/>
    </row>
    <row r="101" spans="1:6" ht="12.75" customHeight="1" x14ac:dyDescent="0.4"/>
    <row r="102" spans="1:6" ht="12.75" customHeight="1" x14ac:dyDescent="0.4"/>
    <row r="103" spans="1:6" ht="12.75" customHeight="1" x14ac:dyDescent="0.4"/>
    <row r="104" spans="1:6" ht="12.75" customHeight="1" x14ac:dyDescent="0.4"/>
    <row r="105" spans="1:6" ht="12.75" customHeight="1" x14ac:dyDescent="0.4"/>
    <row r="106" spans="1:6" ht="12.75" customHeight="1" x14ac:dyDescent="0.4"/>
    <row r="107" spans="1:6" ht="12.75" customHeight="1" x14ac:dyDescent="0.4"/>
    <row r="108" spans="1:6" ht="12.75" customHeight="1" x14ac:dyDescent="0.4"/>
    <row r="109" spans="1:6" ht="12.75" customHeight="1" x14ac:dyDescent="0.4"/>
    <row r="110" spans="1:6" ht="12.75" customHeight="1" x14ac:dyDescent="0.4"/>
    <row r="111" spans="1:6" ht="12.75" customHeight="1" x14ac:dyDescent="0.4"/>
    <row r="112" spans="1:6" ht="12.75" customHeight="1" x14ac:dyDescent="0.4"/>
    <row r="113" ht="12.75" customHeight="1" x14ac:dyDescent="0.4"/>
    <row r="114" ht="12.75" customHeight="1" x14ac:dyDescent="0.4"/>
    <row r="115" ht="12.75" customHeight="1" x14ac:dyDescent="0.4"/>
    <row r="116" ht="12.75" customHeight="1" x14ac:dyDescent="0.4"/>
    <row r="117" ht="12.75" customHeight="1" x14ac:dyDescent="0.4"/>
    <row r="118" ht="12.75" customHeight="1" x14ac:dyDescent="0.4"/>
    <row r="119" ht="12.75" customHeight="1" x14ac:dyDescent="0.4"/>
    <row r="120" ht="12.75" customHeight="1" x14ac:dyDescent="0.4"/>
    <row r="121" ht="12.75" customHeight="1" x14ac:dyDescent="0.4"/>
    <row r="122" ht="12.75" customHeight="1" x14ac:dyDescent="0.4"/>
    <row r="123" ht="12.75" customHeight="1" x14ac:dyDescent="0.4"/>
    <row r="124" ht="12.75" customHeight="1" x14ac:dyDescent="0.4"/>
    <row r="125" ht="12.75" customHeight="1" x14ac:dyDescent="0.4"/>
    <row r="126" ht="12.75" customHeight="1" x14ac:dyDescent="0.4"/>
    <row r="127" ht="12.75" customHeight="1" x14ac:dyDescent="0.4"/>
    <row r="128" ht="12.75" customHeight="1" x14ac:dyDescent="0.4"/>
    <row r="129" ht="12.75" customHeight="1" x14ac:dyDescent="0.4"/>
    <row r="130" ht="12.75" customHeight="1" x14ac:dyDescent="0.4"/>
    <row r="131" ht="12.75" customHeight="1" x14ac:dyDescent="0.4"/>
    <row r="132" ht="12.75" customHeight="1" x14ac:dyDescent="0.4"/>
    <row r="133" ht="12.75" customHeight="1" x14ac:dyDescent="0.4"/>
    <row r="134" ht="12.75" customHeight="1" x14ac:dyDescent="0.4"/>
    <row r="135" ht="12.75" customHeight="1" x14ac:dyDescent="0.4"/>
    <row r="136" ht="12.75" customHeight="1" x14ac:dyDescent="0.4"/>
    <row r="137" ht="12.75" customHeight="1" x14ac:dyDescent="0.4"/>
    <row r="138" ht="12.75" customHeight="1" x14ac:dyDescent="0.4"/>
    <row r="139" ht="12.75" customHeight="1" x14ac:dyDescent="0.4"/>
    <row r="140" ht="12.75" customHeight="1" x14ac:dyDescent="0.4"/>
    <row r="141" ht="12.75" customHeight="1" x14ac:dyDescent="0.4"/>
    <row r="142" ht="12.75" customHeight="1" x14ac:dyDescent="0.4"/>
    <row r="143" ht="12.75" customHeight="1" x14ac:dyDescent="0.4"/>
    <row r="144" ht="12.75" customHeight="1" x14ac:dyDescent="0.4"/>
    <row r="145" ht="12.75" customHeight="1" x14ac:dyDescent="0.4"/>
    <row r="146" ht="12.75" customHeight="1" x14ac:dyDescent="0.4"/>
    <row r="147" ht="12.75" customHeight="1" x14ac:dyDescent="0.4"/>
    <row r="148" ht="12.75" customHeight="1" x14ac:dyDescent="0.4"/>
    <row r="149" ht="12.75" customHeight="1" x14ac:dyDescent="0.4"/>
    <row r="150" ht="12.75" customHeight="1" x14ac:dyDescent="0.4"/>
    <row r="151" ht="12.75" customHeight="1" x14ac:dyDescent="0.4"/>
    <row r="152" ht="12.75" customHeight="1" x14ac:dyDescent="0.4"/>
    <row r="153" ht="12.75" customHeight="1" x14ac:dyDescent="0.4"/>
    <row r="154" ht="12.75" customHeight="1" x14ac:dyDescent="0.4"/>
    <row r="155" ht="12.75" customHeight="1" x14ac:dyDescent="0.4"/>
    <row r="156" ht="12.75" customHeight="1" x14ac:dyDescent="0.4"/>
    <row r="157" ht="12.75" customHeight="1" x14ac:dyDescent="0.4"/>
    <row r="158" ht="12.75" customHeight="1" x14ac:dyDescent="0.4"/>
    <row r="159" ht="12.75" customHeight="1" x14ac:dyDescent="0.4"/>
    <row r="160" ht="12.75" customHeight="1" x14ac:dyDescent="0.4"/>
    <row r="161" ht="12.75" customHeight="1" x14ac:dyDescent="0.4"/>
    <row r="162" ht="12.75" customHeight="1" x14ac:dyDescent="0.4"/>
    <row r="163" ht="12.75" customHeight="1" x14ac:dyDescent="0.4"/>
    <row r="164" ht="12.75" customHeight="1" x14ac:dyDescent="0.4"/>
    <row r="165" ht="12.75" customHeight="1" x14ac:dyDescent="0.4"/>
    <row r="166" ht="12.75" customHeight="1" x14ac:dyDescent="0.4"/>
    <row r="167" ht="12.75" customHeight="1" x14ac:dyDescent="0.4"/>
    <row r="168" ht="12.75" customHeight="1" x14ac:dyDescent="0.4"/>
    <row r="169" ht="12.75" customHeight="1" x14ac:dyDescent="0.4"/>
    <row r="170" ht="12.75" customHeight="1" x14ac:dyDescent="0.4"/>
    <row r="171" ht="12.75" customHeight="1" x14ac:dyDescent="0.4"/>
    <row r="172" ht="12.75" customHeight="1" x14ac:dyDescent="0.4"/>
    <row r="173" ht="12.75" customHeight="1" x14ac:dyDescent="0.4"/>
    <row r="174" ht="12.75" customHeight="1" x14ac:dyDescent="0.4"/>
    <row r="175" ht="12.75" customHeight="1" x14ac:dyDescent="0.4"/>
    <row r="176" ht="12.75" customHeight="1" x14ac:dyDescent="0.4"/>
    <row r="177" ht="12.75" customHeight="1" x14ac:dyDescent="0.4"/>
    <row r="178" ht="12.75" customHeight="1" x14ac:dyDescent="0.4"/>
    <row r="179" ht="12.75" customHeight="1" x14ac:dyDescent="0.4"/>
    <row r="180" ht="12.75" customHeight="1" x14ac:dyDescent="0.4"/>
    <row r="181" ht="12.75" customHeight="1" x14ac:dyDescent="0.4"/>
    <row r="182" ht="12.75" customHeight="1" x14ac:dyDescent="0.4"/>
    <row r="183" ht="12.75" customHeight="1" x14ac:dyDescent="0.4"/>
    <row r="184" ht="12.75" customHeight="1" x14ac:dyDescent="0.4"/>
    <row r="185" ht="12.75" customHeight="1" x14ac:dyDescent="0.4"/>
    <row r="186" ht="12.75" customHeight="1" x14ac:dyDescent="0.4"/>
    <row r="187" ht="12.75" customHeight="1" x14ac:dyDescent="0.4"/>
    <row r="188" ht="12.75" customHeight="1" x14ac:dyDescent="0.4"/>
    <row r="189" ht="12.75" customHeight="1" x14ac:dyDescent="0.4"/>
    <row r="190" ht="12.75" customHeight="1" x14ac:dyDescent="0.4"/>
    <row r="191" ht="12.75" customHeight="1" x14ac:dyDescent="0.4"/>
    <row r="192" ht="12.75" customHeight="1" x14ac:dyDescent="0.4"/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dataValidations count="2">
    <dataValidation type="list" allowBlank="1" showInputMessage="1" showErrorMessage="1" promptTitle="Implementation Status" prompt="Leave blank until task is begun._x000a_Select &quot;In Work&quot; when started (for long tasks only)._x000a_Select Completed ONLY when this task is done._x000a_    Select &quot;Completed Day 1&quot; if finished on the first day, and_x000a_    similarly for &quot;Completed on Day 2&quot; et. al." sqref="E17:E100" xr:uid="{00000000-0002-0000-0300-000001000000}">
      <formula1>"In Work,Completed Day 1,Completed Day 2,Completed Day 3,Completed Day 4,Completed Day 5,Completed Day 6,Completed Day 7"</formula1>
    </dataValidation>
    <dataValidation type="list" allowBlank="1" showInputMessage="1" showErrorMessage="1" prompt="Select Feature ID from Product Backlog - Exactly ONE team member may be responsible for any task, and they will receive grade credit for their work._x000a__x000a_If you have more than one person on your team, each member MUST select their initials for each task the a" sqref="C17:C100" xr:uid="{00000000-0002-0000-0300-000002000000}">
      <formula1>#REF!</formula1>
    </dataValidation>
  </dataValidations>
  <pageMargins left="0.78749999999999998" right="0.78749999999999998" top="1.0249999999999999" bottom="1.0249999999999999" header="0" footer="0"/>
  <pageSetup orientation="portrait"/>
  <headerFooter>
    <oddHeader>&amp;C&amp;A</oddHeader>
    <oddFooter>&amp;CPage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elect Feature ID from Product Backlog - The list contains the Feature IDs from the same column on the Product Backlog tab._x000a__x000a_For each (ahem) Feature ID, create one or more rows in this table representing the tasks you need to complete to implement that fe" xr:uid="{00000000-0002-0000-0300-000000000000}">
          <x14:formula1>
            <xm:f>'Product Backlog'!$A$24:$A$95</xm:f>
          </x14:formula1>
          <xm:sqref>B17:B100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4140625" defaultRowHeight="15" customHeight="1" x14ac:dyDescent="0.4"/>
  <cols>
    <col min="1" max="1" width="10.27734375" customWidth="1"/>
    <col min="2" max="2" width="11.5546875" customWidth="1"/>
    <col min="3" max="3" width="12.27734375" customWidth="1"/>
    <col min="4" max="4" width="51.83203125" customWidth="1"/>
    <col min="5" max="5" width="17.71875" customWidth="1"/>
    <col min="6" max="6" width="51.83203125" customWidth="1"/>
    <col min="7" max="26" width="11.5546875" customWidth="1"/>
  </cols>
  <sheetData>
    <row r="1" spans="1:26" ht="12.75" customHeight="1" x14ac:dyDescent="0.6">
      <c r="A1" s="1" t="s">
        <v>0</v>
      </c>
      <c r="B1" s="1">
        <f>'Sprint 03 Backlog'!B1+1</f>
        <v>4</v>
      </c>
      <c r="C1" s="1"/>
      <c r="D1" s="3" t="s">
        <v>2</v>
      </c>
      <c r="F1" s="1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4">
      <c r="A2" s="1" t="s">
        <v>4</v>
      </c>
      <c r="B2" s="9">
        <f>'Sprint 03 Backlog'!B2+14</f>
        <v>43935</v>
      </c>
      <c r="C2" s="1"/>
      <c r="D2" s="10" t="s">
        <v>5</v>
      </c>
      <c r="E2" s="1"/>
      <c r="F2" s="1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2.75" customHeight="1" x14ac:dyDescent="0.4">
      <c r="A3" s="1" t="s">
        <v>7</v>
      </c>
      <c r="B3" s="9">
        <f>B2+14</f>
        <v>43949</v>
      </c>
      <c r="C3" s="1"/>
      <c r="D3" s="1"/>
      <c r="E3" s="1"/>
      <c r="F3" s="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 x14ac:dyDescent="0.4">
      <c r="A4" s="1" t="s">
        <v>8</v>
      </c>
      <c r="B4" s="11" t="s">
        <v>9</v>
      </c>
      <c r="C4" s="1"/>
      <c r="D4" s="1"/>
      <c r="E4" s="1"/>
      <c r="F4" s="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2.75" customHeight="1" x14ac:dyDescent="0.4">
      <c r="A5" s="1"/>
      <c r="B5" s="11"/>
      <c r="C5" s="1"/>
      <c r="D5" s="1"/>
      <c r="E5" s="1"/>
      <c r="F5" s="1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 x14ac:dyDescent="0.4">
      <c r="A6" s="1"/>
      <c r="B6" s="12" t="s">
        <v>14</v>
      </c>
      <c r="C6" s="1" t="s">
        <v>15</v>
      </c>
      <c r="D6" s="1"/>
      <c r="E6" s="1"/>
      <c r="F6" s="1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 x14ac:dyDescent="0.4">
      <c r="A7" s="1" t="s">
        <v>16</v>
      </c>
      <c r="B7" s="1">
        <f>COUNTA(D17:D995)</f>
        <v>1</v>
      </c>
      <c r="C7" s="1"/>
      <c r="D7" s="1"/>
      <c r="E7" s="1"/>
      <c r="F7" s="1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 x14ac:dyDescent="0.4">
      <c r="A8" s="1" t="s">
        <v>17</v>
      </c>
      <c r="B8" s="1">
        <f t="shared" ref="B8:B14" si="0">B7-C8</f>
        <v>1</v>
      </c>
      <c r="C8" s="1">
        <f>COUNTIF(E$17:E$995, "Completed Day 1")</f>
        <v>0</v>
      </c>
      <c r="D8" s="1"/>
      <c r="E8" s="1"/>
      <c r="F8" s="1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 x14ac:dyDescent="0.4">
      <c r="A9" s="1" t="s">
        <v>18</v>
      </c>
      <c r="B9" s="1">
        <f t="shared" si="0"/>
        <v>1</v>
      </c>
      <c r="C9" s="1">
        <f>COUNTIF(E$17:E$995, "Completed Day 2")</f>
        <v>0</v>
      </c>
      <c r="D9" s="1"/>
      <c r="E9" s="1"/>
      <c r="F9" s="1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 x14ac:dyDescent="0.4">
      <c r="A10" s="1" t="s">
        <v>19</v>
      </c>
      <c r="B10" s="1">
        <f t="shared" si="0"/>
        <v>1</v>
      </c>
      <c r="C10" s="1">
        <f>COUNTIF(E$17:E$995, "Completed Day 3")</f>
        <v>0</v>
      </c>
      <c r="D10" s="1"/>
      <c r="E10" s="1"/>
      <c r="F10" s="1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 x14ac:dyDescent="0.4">
      <c r="A11" s="1" t="s">
        <v>20</v>
      </c>
      <c r="B11" s="1">
        <f t="shared" si="0"/>
        <v>1</v>
      </c>
      <c r="C11" s="1">
        <f>COUNTIF(E$17:E$995, "Completed Day 4")</f>
        <v>0</v>
      </c>
      <c r="D11" s="1"/>
      <c r="E11" s="1"/>
      <c r="F11" s="1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 x14ac:dyDescent="0.4">
      <c r="A12" s="1" t="s">
        <v>23</v>
      </c>
      <c r="B12" s="1">
        <f t="shared" si="0"/>
        <v>1</v>
      </c>
      <c r="C12" s="1">
        <f>COUNTIF(E$17:E$995, "Completed Day 5")</f>
        <v>0</v>
      </c>
      <c r="D12" s="1"/>
      <c r="E12" s="1"/>
      <c r="F12" s="1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 x14ac:dyDescent="0.4">
      <c r="A13" s="1" t="s">
        <v>25</v>
      </c>
      <c r="B13" s="1">
        <f t="shared" si="0"/>
        <v>1</v>
      </c>
      <c r="C13" s="1">
        <f>COUNTIF(E$17:E$995, "Completed Day 6")</f>
        <v>0</v>
      </c>
      <c r="D13" s="1"/>
      <c r="E13" s="1"/>
      <c r="F13" s="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 x14ac:dyDescent="0.4">
      <c r="A14" s="1" t="s">
        <v>28</v>
      </c>
      <c r="B14" s="1">
        <f t="shared" si="0"/>
        <v>1</v>
      </c>
      <c r="C14" s="1">
        <f>COUNTIF(E$17:E$995, "Completed Day 7")</f>
        <v>0</v>
      </c>
      <c r="D14" s="1"/>
      <c r="E14" s="1"/>
      <c r="F14" s="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 x14ac:dyDescent="0.4">
      <c r="A15" s="1"/>
      <c r="B15" s="1"/>
      <c r="C15" s="1"/>
      <c r="D15" s="1"/>
      <c r="E15" s="1"/>
      <c r="F15" s="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 x14ac:dyDescent="0.4">
      <c r="A16" s="19" t="s">
        <v>30</v>
      </c>
      <c r="B16" s="19" t="s">
        <v>31</v>
      </c>
      <c r="C16" s="19" t="s">
        <v>32</v>
      </c>
      <c r="D16" s="19" t="s">
        <v>33</v>
      </c>
      <c r="E16" s="19" t="s">
        <v>34</v>
      </c>
      <c r="F16" s="19" t="s">
        <v>35</v>
      </c>
    </row>
    <row r="17" spans="1:6" ht="12.75" customHeight="1" x14ac:dyDescent="0.4">
      <c r="A17" s="2">
        <v>1</v>
      </c>
      <c r="B17" s="21"/>
      <c r="C17" s="2"/>
      <c r="D17" s="23" t="s">
        <v>39</v>
      </c>
      <c r="E17" s="25"/>
      <c r="F17" s="26" t="s">
        <v>44</v>
      </c>
    </row>
    <row r="18" spans="1:6" ht="12.75" customHeight="1" x14ac:dyDescent="0.4">
      <c r="A18" s="2">
        <v>2</v>
      </c>
      <c r="B18" s="21"/>
      <c r="C18" s="2"/>
      <c r="D18" s="22"/>
      <c r="E18" s="25"/>
      <c r="F18" s="26"/>
    </row>
    <row r="19" spans="1:6" ht="12.75" customHeight="1" x14ac:dyDescent="0.4">
      <c r="A19" s="2">
        <v>3</v>
      </c>
      <c r="B19" s="21"/>
      <c r="C19" s="2"/>
      <c r="D19" s="22"/>
      <c r="E19" s="25"/>
      <c r="F19" s="26"/>
    </row>
    <row r="20" spans="1:6" ht="12.75" customHeight="1" x14ac:dyDescent="0.4">
      <c r="A20" s="2">
        <v>4</v>
      </c>
      <c r="B20" s="21"/>
      <c r="C20" s="2"/>
      <c r="D20" s="22"/>
      <c r="E20" s="25"/>
      <c r="F20" s="26"/>
    </row>
    <row r="21" spans="1:6" ht="12.75" customHeight="1" x14ac:dyDescent="0.4">
      <c r="A21" s="2">
        <v>5</v>
      </c>
      <c r="B21" s="21"/>
      <c r="C21" s="2"/>
      <c r="D21" s="22"/>
      <c r="E21" s="25"/>
      <c r="F21" s="26"/>
    </row>
    <row r="22" spans="1:6" ht="12.75" customHeight="1" x14ac:dyDescent="0.4">
      <c r="A22" s="2">
        <v>6</v>
      </c>
      <c r="B22" s="21"/>
      <c r="C22" s="2"/>
      <c r="D22" s="22"/>
      <c r="E22" s="25"/>
      <c r="F22" s="26"/>
    </row>
    <row r="23" spans="1:6" ht="12.75" customHeight="1" x14ac:dyDescent="0.4">
      <c r="A23" s="2">
        <v>7</v>
      </c>
      <c r="B23" s="21"/>
      <c r="C23" s="2"/>
      <c r="D23" s="22"/>
      <c r="E23" s="25"/>
      <c r="F23" s="26"/>
    </row>
    <row r="24" spans="1:6" ht="12.75" customHeight="1" x14ac:dyDescent="0.4">
      <c r="A24" s="2">
        <v>8</v>
      </c>
      <c r="B24" s="21"/>
      <c r="C24" s="2"/>
      <c r="D24" s="22"/>
      <c r="E24" s="25"/>
      <c r="F24" s="26"/>
    </row>
    <row r="25" spans="1:6" ht="12.75" customHeight="1" x14ac:dyDescent="0.4">
      <c r="A25" s="2">
        <v>9</v>
      </c>
      <c r="B25" s="21"/>
      <c r="C25" s="2"/>
      <c r="D25" s="22"/>
      <c r="E25" s="25"/>
      <c r="F25" s="26"/>
    </row>
    <row r="26" spans="1:6" ht="12.75" customHeight="1" x14ac:dyDescent="0.4">
      <c r="A26" s="2">
        <v>10</v>
      </c>
      <c r="B26" s="21"/>
      <c r="C26" s="2"/>
      <c r="D26" s="22"/>
      <c r="E26" s="25"/>
      <c r="F26" s="26"/>
    </row>
    <row r="27" spans="1:6" ht="12.75" customHeight="1" x14ac:dyDescent="0.4">
      <c r="A27" s="2">
        <v>11</v>
      </c>
      <c r="B27" s="21"/>
      <c r="C27" s="2"/>
      <c r="D27" s="22"/>
      <c r="E27" s="25"/>
      <c r="F27" s="26"/>
    </row>
    <row r="28" spans="1:6" ht="12.75" customHeight="1" x14ac:dyDescent="0.4">
      <c r="A28" s="2">
        <v>12</v>
      </c>
      <c r="B28" s="21"/>
      <c r="C28" s="2"/>
      <c r="D28" s="22"/>
      <c r="E28" s="25"/>
      <c r="F28" s="26"/>
    </row>
    <row r="29" spans="1:6" ht="12.75" customHeight="1" x14ac:dyDescent="0.4">
      <c r="A29" s="2">
        <v>13</v>
      </c>
      <c r="B29" s="21"/>
      <c r="C29" s="2"/>
      <c r="D29" s="22"/>
      <c r="E29" s="25"/>
      <c r="F29" s="26"/>
    </row>
    <row r="30" spans="1:6" ht="12.75" customHeight="1" x14ac:dyDescent="0.4">
      <c r="A30" s="2">
        <v>14</v>
      </c>
      <c r="B30" s="21"/>
      <c r="C30" s="2"/>
      <c r="D30" s="22"/>
      <c r="E30" s="25"/>
      <c r="F30" s="26"/>
    </row>
    <row r="31" spans="1:6" ht="12.75" customHeight="1" x14ac:dyDescent="0.4">
      <c r="A31" s="2">
        <v>15</v>
      </c>
      <c r="B31" s="21"/>
      <c r="C31" s="2"/>
      <c r="D31" s="22"/>
      <c r="E31" s="25"/>
      <c r="F31" s="26"/>
    </row>
    <row r="32" spans="1:6" ht="12.75" customHeight="1" x14ac:dyDescent="0.4">
      <c r="A32" s="2">
        <v>16</v>
      </c>
      <c r="B32" s="21"/>
      <c r="C32" s="2"/>
      <c r="D32" s="22"/>
      <c r="E32" s="25"/>
      <c r="F32" s="26"/>
    </row>
    <row r="33" spans="1:6" ht="12.75" customHeight="1" x14ac:dyDescent="0.4">
      <c r="A33" s="2">
        <v>17</v>
      </c>
      <c r="B33" s="21"/>
      <c r="C33" s="2"/>
      <c r="D33" s="22"/>
      <c r="E33" s="25"/>
      <c r="F33" s="26"/>
    </row>
    <row r="34" spans="1:6" ht="12.75" customHeight="1" x14ac:dyDescent="0.4">
      <c r="A34" s="2">
        <v>18</v>
      </c>
      <c r="B34" s="21"/>
      <c r="C34" s="2"/>
      <c r="D34" s="22"/>
      <c r="E34" s="25"/>
      <c r="F34" s="26"/>
    </row>
    <row r="35" spans="1:6" ht="12.75" customHeight="1" x14ac:dyDescent="0.4">
      <c r="A35" s="2">
        <v>19</v>
      </c>
      <c r="B35" s="21"/>
      <c r="C35" s="2"/>
      <c r="D35" s="22"/>
      <c r="E35" s="25"/>
      <c r="F35" s="26"/>
    </row>
    <row r="36" spans="1:6" ht="12.75" customHeight="1" x14ac:dyDescent="0.4">
      <c r="A36" s="2">
        <v>20</v>
      </c>
      <c r="B36" s="21"/>
      <c r="C36" s="2"/>
      <c r="D36" s="22"/>
      <c r="E36" s="25"/>
      <c r="F36" s="26"/>
    </row>
    <row r="37" spans="1:6" ht="12.75" customHeight="1" x14ac:dyDescent="0.4">
      <c r="A37" s="2">
        <v>21</v>
      </c>
      <c r="B37" s="21"/>
      <c r="C37" s="2"/>
      <c r="D37" s="22"/>
      <c r="E37" s="25"/>
      <c r="F37" s="26"/>
    </row>
    <row r="38" spans="1:6" ht="12.75" customHeight="1" x14ac:dyDescent="0.4">
      <c r="A38" s="2">
        <v>22</v>
      </c>
      <c r="B38" s="21"/>
      <c r="C38" s="2"/>
      <c r="D38" s="22"/>
      <c r="E38" s="25"/>
      <c r="F38" s="26"/>
    </row>
    <row r="39" spans="1:6" ht="12.75" customHeight="1" x14ac:dyDescent="0.4">
      <c r="A39" s="2">
        <v>23</v>
      </c>
      <c r="B39" s="21"/>
      <c r="C39" s="2"/>
      <c r="D39" s="22"/>
      <c r="E39" s="25"/>
      <c r="F39" s="26"/>
    </row>
    <row r="40" spans="1:6" ht="12.75" customHeight="1" x14ac:dyDescent="0.4">
      <c r="A40" s="2">
        <v>24</v>
      </c>
      <c r="B40" s="21"/>
      <c r="C40" s="2"/>
      <c r="D40" s="22"/>
      <c r="E40" s="25"/>
      <c r="F40" s="26"/>
    </row>
    <row r="41" spans="1:6" ht="12.75" customHeight="1" x14ac:dyDescent="0.4">
      <c r="A41" s="2">
        <v>25</v>
      </c>
      <c r="B41" s="21"/>
      <c r="C41" s="2"/>
      <c r="D41" s="22"/>
      <c r="E41" s="25"/>
      <c r="F41" s="26"/>
    </row>
    <row r="42" spans="1:6" ht="12.75" customHeight="1" x14ac:dyDescent="0.4">
      <c r="A42" s="2">
        <v>26</v>
      </c>
      <c r="B42" s="21"/>
      <c r="C42" s="2"/>
      <c r="D42" s="22"/>
      <c r="E42" s="25"/>
      <c r="F42" s="26"/>
    </row>
    <row r="43" spans="1:6" ht="12.75" customHeight="1" x14ac:dyDescent="0.4">
      <c r="A43" s="2">
        <v>27</v>
      </c>
      <c r="B43" s="21"/>
      <c r="C43" s="2"/>
      <c r="D43" s="22"/>
      <c r="E43" s="25"/>
      <c r="F43" s="26"/>
    </row>
    <row r="44" spans="1:6" ht="12.75" customHeight="1" x14ac:dyDescent="0.4">
      <c r="A44" s="2">
        <v>28</v>
      </c>
      <c r="B44" s="21"/>
      <c r="C44" s="2"/>
      <c r="D44" s="22"/>
      <c r="E44" s="25"/>
      <c r="F44" s="26"/>
    </row>
    <row r="45" spans="1:6" ht="12.75" customHeight="1" x14ac:dyDescent="0.4">
      <c r="A45" s="2">
        <v>29</v>
      </c>
      <c r="B45" s="21"/>
      <c r="C45" s="2"/>
      <c r="D45" s="22"/>
      <c r="E45" s="25"/>
      <c r="F45" s="26"/>
    </row>
    <row r="46" spans="1:6" ht="12.75" customHeight="1" x14ac:dyDescent="0.4">
      <c r="A46" s="2">
        <v>30</v>
      </c>
      <c r="B46" s="21"/>
      <c r="C46" s="2"/>
      <c r="D46" s="22"/>
      <c r="E46" s="25"/>
      <c r="F46" s="26"/>
    </row>
    <row r="47" spans="1:6" ht="12.75" customHeight="1" x14ac:dyDescent="0.4">
      <c r="A47" s="2">
        <v>31</v>
      </c>
      <c r="B47" s="21"/>
      <c r="C47" s="2"/>
      <c r="D47" s="22"/>
      <c r="E47" s="25"/>
      <c r="F47" s="26"/>
    </row>
    <row r="48" spans="1:6" ht="12.75" customHeight="1" x14ac:dyDescent="0.4">
      <c r="A48" s="2">
        <v>32</v>
      </c>
      <c r="B48" s="21"/>
      <c r="C48" s="2"/>
      <c r="D48" s="22"/>
      <c r="E48" s="25"/>
      <c r="F48" s="26"/>
    </row>
    <row r="49" spans="1:6" ht="12.75" customHeight="1" x14ac:dyDescent="0.4">
      <c r="A49" s="2">
        <v>33</v>
      </c>
      <c r="B49" s="21"/>
      <c r="C49" s="2"/>
      <c r="D49" s="22"/>
      <c r="E49" s="25"/>
      <c r="F49" s="26"/>
    </row>
    <row r="50" spans="1:6" ht="12.75" customHeight="1" x14ac:dyDescent="0.4">
      <c r="A50" s="2">
        <v>34</v>
      </c>
      <c r="B50" s="21"/>
      <c r="C50" s="2"/>
      <c r="D50" s="22"/>
      <c r="E50" s="25"/>
      <c r="F50" s="26"/>
    </row>
    <row r="51" spans="1:6" ht="12.75" customHeight="1" x14ac:dyDescent="0.4">
      <c r="A51" s="2">
        <v>35</v>
      </c>
      <c r="B51" s="21"/>
      <c r="C51" s="2"/>
      <c r="D51" s="22"/>
      <c r="E51" s="25"/>
      <c r="F51" s="26"/>
    </row>
    <row r="52" spans="1:6" ht="12.75" customHeight="1" x14ac:dyDescent="0.4">
      <c r="A52" s="2">
        <v>36</v>
      </c>
      <c r="B52" s="21"/>
      <c r="C52" s="2"/>
      <c r="D52" s="22"/>
      <c r="E52" s="25"/>
      <c r="F52" s="26"/>
    </row>
    <row r="53" spans="1:6" ht="12.75" customHeight="1" x14ac:dyDescent="0.4">
      <c r="A53" s="2">
        <v>37</v>
      </c>
      <c r="B53" s="21"/>
      <c r="C53" s="2"/>
      <c r="D53" s="22"/>
      <c r="E53" s="25"/>
      <c r="F53" s="26"/>
    </row>
    <row r="54" spans="1:6" ht="12.75" customHeight="1" x14ac:dyDescent="0.4">
      <c r="A54" s="2">
        <v>38</v>
      </c>
      <c r="B54" s="21"/>
      <c r="C54" s="2"/>
      <c r="D54" s="22"/>
      <c r="E54" s="25"/>
      <c r="F54" s="26"/>
    </row>
    <row r="55" spans="1:6" ht="12.75" customHeight="1" x14ac:dyDescent="0.4">
      <c r="A55" s="2">
        <v>39</v>
      </c>
      <c r="B55" s="21"/>
      <c r="C55" s="2"/>
      <c r="D55" s="22"/>
      <c r="E55" s="25"/>
      <c r="F55" s="26"/>
    </row>
    <row r="56" spans="1:6" ht="12.75" customHeight="1" x14ac:dyDescent="0.4">
      <c r="A56" s="2">
        <v>40</v>
      </c>
      <c r="B56" s="21"/>
      <c r="C56" s="2"/>
      <c r="D56" s="22"/>
      <c r="E56" s="25"/>
      <c r="F56" s="26"/>
    </row>
    <row r="57" spans="1:6" ht="12.75" customHeight="1" x14ac:dyDescent="0.4">
      <c r="A57" s="2">
        <v>41</v>
      </c>
      <c r="B57" s="21"/>
      <c r="C57" s="2"/>
      <c r="D57" s="22"/>
      <c r="E57" s="25"/>
      <c r="F57" s="26"/>
    </row>
    <row r="58" spans="1:6" ht="12.75" customHeight="1" x14ac:dyDescent="0.4">
      <c r="A58" s="2">
        <v>42</v>
      </c>
      <c r="B58" s="21"/>
      <c r="C58" s="2"/>
      <c r="D58" s="22"/>
      <c r="E58" s="25"/>
      <c r="F58" s="26"/>
    </row>
    <row r="59" spans="1:6" ht="12.75" customHeight="1" x14ac:dyDescent="0.4">
      <c r="A59" s="2">
        <v>43</v>
      </c>
      <c r="B59" s="21"/>
      <c r="C59" s="2"/>
      <c r="D59" s="22"/>
      <c r="E59" s="25"/>
      <c r="F59" s="26"/>
    </row>
    <row r="60" spans="1:6" ht="12.75" customHeight="1" x14ac:dyDescent="0.4">
      <c r="A60" s="2">
        <v>44</v>
      </c>
      <c r="B60" s="21"/>
      <c r="C60" s="2"/>
      <c r="D60" s="22"/>
      <c r="E60" s="25"/>
      <c r="F60" s="26"/>
    </row>
    <row r="61" spans="1:6" ht="12.75" customHeight="1" x14ac:dyDescent="0.4">
      <c r="A61" s="2">
        <v>45</v>
      </c>
      <c r="B61" s="21"/>
      <c r="C61" s="2"/>
      <c r="D61" s="22"/>
      <c r="E61" s="25"/>
      <c r="F61" s="26"/>
    </row>
    <row r="62" spans="1:6" ht="12.75" customHeight="1" x14ac:dyDescent="0.4">
      <c r="A62" s="2">
        <v>46</v>
      </c>
      <c r="B62" s="21"/>
      <c r="C62" s="2"/>
      <c r="D62" s="22"/>
      <c r="E62" s="25"/>
      <c r="F62" s="26"/>
    </row>
    <row r="63" spans="1:6" ht="12.75" customHeight="1" x14ac:dyDescent="0.4">
      <c r="A63" s="2">
        <v>47</v>
      </c>
      <c r="B63" s="21"/>
      <c r="C63" s="2"/>
      <c r="D63" s="22"/>
      <c r="E63" s="25"/>
      <c r="F63" s="26"/>
    </row>
    <row r="64" spans="1:6" ht="12.75" customHeight="1" x14ac:dyDescent="0.4">
      <c r="A64" s="2">
        <v>48</v>
      </c>
      <c r="B64" s="21"/>
      <c r="C64" s="2"/>
      <c r="D64" s="22"/>
      <c r="E64" s="25"/>
      <c r="F64" s="26"/>
    </row>
    <row r="65" spans="1:6" ht="12.75" customHeight="1" x14ac:dyDescent="0.4">
      <c r="A65" s="2">
        <v>49</v>
      </c>
      <c r="B65" s="21"/>
      <c r="C65" s="2"/>
      <c r="D65" s="22"/>
      <c r="E65" s="25"/>
      <c r="F65" s="26"/>
    </row>
    <row r="66" spans="1:6" ht="12.75" customHeight="1" x14ac:dyDescent="0.4">
      <c r="A66" s="2">
        <v>50</v>
      </c>
      <c r="B66" s="21"/>
      <c r="C66" s="2"/>
      <c r="D66" s="22"/>
      <c r="E66" s="25"/>
      <c r="F66" s="26"/>
    </row>
    <row r="67" spans="1:6" ht="12.75" customHeight="1" x14ac:dyDescent="0.4">
      <c r="A67" s="2">
        <v>51</v>
      </c>
      <c r="B67" s="21"/>
      <c r="C67" s="2"/>
      <c r="D67" s="22"/>
      <c r="E67" s="25"/>
      <c r="F67" s="26"/>
    </row>
    <row r="68" spans="1:6" ht="12.75" customHeight="1" x14ac:dyDescent="0.4">
      <c r="A68" s="2">
        <v>52</v>
      </c>
      <c r="B68" s="21"/>
      <c r="C68" s="2"/>
      <c r="D68" s="22"/>
      <c r="E68" s="25"/>
      <c r="F68" s="26"/>
    </row>
    <row r="69" spans="1:6" ht="12.75" customHeight="1" x14ac:dyDescent="0.4">
      <c r="A69" s="2">
        <v>53</v>
      </c>
      <c r="B69" s="21"/>
      <c r="C69" s="2"/>
      <c r="D69" s="22"/>
      <c r="E69" s="25"/>
      <c r="F69" s="26"/>
    </row>
    <row r="70" spans="1:6" ht="12.75" customHeight="1" x14ac:dyDescent="0.4">
      <c r="A70" s="2">
        <v>54</v>
      </c>
      <c r="B70" s="21"/>
      <c r="C70" s="2"/>
      <c r="D70" s="22"/>
      <c r="E70" s="25"/>
      <c r="F70" s="26"/>
    </row>
    <row r="71" spans="1:6" ht="12.75" customHeight="1" x14ac:dyDescent="0.4">
      <c r="A71" s="2">
        <v>55</v>
      </c>
      <c r="B71" s="21"/>
      <c r="C71" s="2"/>
      <c r="D71" s="22"/>
      <c r="E71" s="25"/>
      <c r="F71" s="26"/>
    </row>
    <row r="72" spans="1:6" ht="12.75" customHeight="1" x14ac:dyDescent="0.4">
      <c r="A72" s="2">
        <v>56</v>
      </c>
      <c r="B72" s="21"/>
      <c r="C72" s="2"/>
      <c r="D72" s="22"/>
      <c r="E72" s="25"/>
      <c r="F72" s="26"/>
    </row>
    <row r="73" spans="1:6" ht="12.75" customHeight="1" x14ac:dyDescent="0.4">
      <c r="A73" s="2">
        <v>57</v>
      </c>
      <c r="B73" s="21"/>
      <c r="C73" s="2"/>
      <c r="D73" s="22"/>
      <c r="E73" s="25"/>
      <c r="F73" s="26"/>
    </row>
    <row r="74" spans="1:6" ht="12.75" customHeight="1" x14ac:dyDescent="0.4">
      <c r="A74" s="2">
        <v>58</v>
      </c>
      <c r="B74" s="21"/>
      <c r="C74" s="2"/>
      <c r="D74" s="22"/>
      <c r="E74" s="25"/>
      <c r="F74" s="26"/>
    </row>
    <row r="75" spans="1:6" ht="12.75" customHeight="1" x14ac:dyDescent="0.4">
      <c r="A75" s="2">
        <v>59</v>
      </c>
      <c r="B75" s="21"/>
      <c r="C75" s="2"/>
      <c r="D75" s="22"/>
      <c r="E75" s="25"/>
      <c r="F75" s="26"/>
    </row>
    <row r="76" spans="1:6" ht="12.75" customHeight="1" x14ac:dyDescent="0.4">
      <c r="A76" s="2">
        <v>60</v>
      </c>
      <c r="B76" s="21"/>
      <c r="C76" s="2"/>
      <c r="D76" s="22"/>
      <c r="E76" s="25"/>
      <c r="F76" s="26"/>
    </row>
    <row r="77" spans="1:6" ht="12.75" customHeight="1" x14ac:dyDescent="0.4">
      <c r="A77" s="2">
        <v>61</v>
      </c>
      <c r="B77" s="21"/>
      <c r="C77" s="2"/>
      <c r="D77" s="22"/>
      <c r="E77" s="25"/>
      <c r="F77" s="26"/>
    </row>
    <row r="78" spans="1:6" ht="12.75" customHeight="1" x14ac:dyDescent="0.4">
      <c r="A78" s="2">
        <v>62</v>
      </c>
      <c r="B78" s="21"/>
      <c r="C78" s="2"/>
      <c r="D78" s="22"/>
      <c r="E78" s="25"/>
      <c r="F78" s="26"/>
    </row>
    <row r="79" spans="1:6" ht="12.75" customHeight="1" x14ac:dyDescent="0.4">
      <c r="A79" s="2">
        <v>63</v>
      </c>
      <c r="B79" s="21"/>
      <c r="C79" s="2"/>
      <c r="D79" s="22"/>
      <c r="E79" s="25"/>
      <c r="F79" s="26"/>
    </row>
    <row r="80" spans="1:6" ht="12.75" customHeight="1" x14ac:dyDescent="0.4">
      <c r="A80" s="2">
        <v>64</v>
      </c>
      <c r="B80" s="21"/>
      <c r="C80" s="2"/>
      <c r="D80" s="22"/>
      <c r="E80" s="25"/>
      <c r="F80" s="26"/>
    </row>
    <row r="81" spans="1:6" ht="12.75" customHeight="1" x14ac:dyDescent="0.4">
      <c r="A81" s="2">
        <v>65</v>
      </c>
      <c r="B81" s="21"/>
      <c r="C81" s="2"/>
      <c r="D81" s="22"/>
      <c r="E81" s="25"/>
      <c r="F81" s="26"/>
    </row>
    <row r="82" spans="1:6" ht="12.75" customHeight="1" x14ac:dyDescent="0.4">
      <c r="A82" s="2">
        <v>66</v>
      </c>
      <c r="B82" s="21"/>
      <c r="C82" s="2"/>
      <c r="D82" s="22"/>
      <c r="E82" s="25"/>
      <c r="F82" s="26"/>
    </row>
    <row r="83" spans="1:6" ht="12.75" customHeight="1" x14ac:dyDescent="0.4">
      <c r="A83" s="2">
        <v>67</v>
      </c>
      <c r="B83" s="21"/>
      <c r="C83" s="2"/>
      <c r="D83" s="22"/>
      <c r="E83" s="25"/>
      <c r="F83" s="26"/>
    </row>
    <row r="84" spans="1:6" ht="12.75" customHeight="1" x14ac:dyDescent="0.4">
      <c r="A84" s="2">
        <v>68</v>
      </c>
      <c r="B84" s="21"/>
      <c r="C84" s="2"/>
      <c r="D84" s="22"/>
      <c r="E84" s="25"/>
      <c r="F84" s="26"/>
    </row>
    <row r="85" spans="1:6" ht="12.75" customHeight="1" x14ac:dyDescent="0.4">
      <c r="A85" s="2">
        <v>69</v>
      </c>
      <c r="B85" s="21"/>
      <c r="C85" s="2"/>
      <c r="D85" s="22"/>
      <c r="E85" s="25"/>
      <c r="F85" s="26"/>
    </row>
    <row r="86" spans="1:6" ht="12.75" customHeight="1" x14ac:dyDescent="0.4">
      <c r="A86" s="2">
        <v>70</v>
      </c>
      <c r="B86" s="21"/>
      <c r="C86" s="2"/>
      <c r="D86" s="22"/>
      <c r="E86" s="25"/>
      <c r="F86" s="26"/>
    </row>
    <row r="87" spans="1:6" ht="12.75" customHeight="1" x14ac:dyDescent="0.4">
      <c r="A87" s="2">
        <v>71</v>
      </c>
      <c r="B87" s="21"/>
      <c r="C87" s="2"/>
      <c r="D87" s="22"/>
      <c r="E87" s="25"/>
      <c r="F87" s="26"/>
    </row>
    <row r="88" spans="1:6" ht="12.75" customHeight="1" x14ac:dyDescent="0.4">
      <c r="A88" s="2">
        <v>72</v>
      </c>
      <c r="B88" s="21"/>
      <c r="C88" s="2"/>
      <c r="D88" s="22"/>
      <c r="E88" s="25"/>
      <c r="F88" s="26"/>
    </row>
    <row r="89" spans="1:6" ht="12.75" customHeight="1" x14ac:dyDescent="0.4">
      <c r="A89" s="2">
        <v>73</v>
      </c>
      <c r="B89" s="21"/>
      <c r="C89" s="2"/>
      <c r="D89" s="22"/>
      <c r="E89" s="25"/>
      <c r="F89" s="26"/>
    </row>
    <row r="90" spans="1:6" ht="12.75" customHeight="1" x14ac:dyDescent="0.4">
      <c r="A90" s="2">
        <v>74</v>
      </c>
      <c r="B90" s="21"/>
      <c r="C90" s="2"/>
      <c r="D90" s="22"/>
      <c r="E90" s="25"/>
      <c r="F90" s="26"/>
    </row>
    <row r="91" spans="1:6" ht="12.75" customHeight="1" x14ac:dyDescent="0.4">
      <c r="A91" s="2">
        <v>75</v>
      </c>
      <c r="B91" s="21"/>
      <c r="C91" s="2"/>
      <c r="D91" s="22"/>
      <c r="E91" s="25"/>
      <c r="F91" s="26"/>
    </row>
    <row r="92" spans="1:6" ht="12.75" customHeight="1" x14ac:dyDescent="0.4">
      <c r="A92" s="2">
        <v>76</v>
      </c>
      <c r="B92" s="21"/>
      <c r="C92" s="2"/>
      <c r="D92" s="22"/>
      <c r="E92" s="25"/>
      <c r="F92" s="26"/>
    </row>
    <row r="93" spans="1:6" ht="12.75" customHeight="1" x14ac:dyDescent="0.4">
      <c r="A93" s="2">
        <v>77</v>
      </c>
      <c r="B93" s="21"/>
      <c r="C93" s="2"/>
      <c r="D93" s="22"/>
      <c r="E93" s="25"/>
      <c r="F93" s="26"/>
    </row>
    <row r="94" spans="1:6" ht="12.75" customHeight="1" x14ac:dyDescent="0.4">
      <c r="A94" s="2">
        <v>78</v>
      </c>
      <c r="B94" s="21"/>
      <c r="C94" s="2"/>
      <c r="D94" s="22"/>
      <c r="E94" s="25"/>
      <c r="F94" s="26"/>
    </row>
    <row r="95" spans="1:6" ht="12.75" customHeight="1" x14ac:dyDescent="0.4">
      <c r="A95" s="2">
        <v>79</v>
      </c>
      <c r="B95" s="21"/>
      <c r="C95" s="2"/>
      <c r="D95" s="22"/>
      <c r="E95" s="25"/>
      <c r="F95" s="26"/>
    </row>
    <row r="96" spans="1:6" ht="12.75" customHeight="1" x14ac:dyDescent="0.4">
      <c r="A96" s="2">
        <v>80</v>
      </c>
      <c r="B96" s="21"/>
      <c r="C96" s="2"/>
      <c r="D96" s="22"/>
      <c r="E96" s="25"/>
      <c r="F96" s="26"/>
    </row>
    <row r="97" spans="1:6" ht="12.75" customHeight="1" x14ac:dyDescent="0.4">
      <c r="A97" s="2">
        <v>81</v>
      </c>
      <c r="B97" s="21"/>
      <c r="C97" s="2"/>
      <c r="D97" s="22"/>
      <c r="E97" s="25"/>
      <c r="F97" s="26"/>
    </row>
    <row r="98" spans="1:6" ht="12.75" customHeight="1" x14ac:dyDescent="0.4">
      <c r="A98" s="2">
        <v>82</v>
      </c>
      <c r="B98" s="21"/>
      <c r="C98" s="2"/>
      <c r="D98" s="22"/>
      <c r="E98" s="25"/>
      <c r="F98" s="26"/>
    </row>
    <row r="99" spans="1:6" ht="12.75" customHeight="1" x14ac:dyDescent="0.4">
      <c r="A99" s="2">
        <v>83</v>
      </c>
      <c r="B99" s="21"/>
      <c r="C99" s="2"/>
      <c r="D99" s="22"/>
      <c r="E99" s="25"/>
      <c r="F99" s="26"/>
    </row>
    <row r="100" spans="1:6" ht="12.75" customHeight="1" x14ac:dyDescent="0.4">
      <c r="A100" s="2">
        <v>84</v>
      </c>
      <c r="B100" s="21"/>
      <c r="C100" s="2"/>
      <c r="D100" s="22"/>
      <c r="E100" s="25"/>
      <c r="F100" s="26"/>
    </row>
    <row r="101" spans="1:6" ht="12.75" customHeight="1" x14ac:dyDescent="0.4"/>
    <row r="102" spans="1:6" ht="12.75" customHeight="1" x14ac:dyDescent="0.4"/>
    <row r="103" spans="1:6" ht="12.75" customHeight="1" x14ac:dyDescent="0.4"/>
    <row r="104" spans="1:6" ht="12.75" customHeight="1" x14ac:dyDescent="0.4"/>
    <row r="105" spans="1:6" ht="12.75" customHeight="1" x14ac:dyDescent="0.4"/>
    <row r="106" spans="1:6" ht="12.75" customHeight="1" x14ac:dyDescent="0.4"/>
    <row r="107" spans="1:6" ht="12.75" customHeight="1" x14ac:dyDescent="0.4"/>
    <row r="108" spans="1:6" ht="12.75" customHeight="1" x14ac:dyDescent="0.4"/>
    <row r="109" spans="1:6" ht="12.75" customHeight="1" x14ac:dyDescent="0.4"/>
    <row r="110" spans="1:6" ht="12.75" customHeight="1" x14ac:dyDescent="0.4"/>
    <row r="111" spans="1:6" ht="12.75" customHeight="1" x14ac:dyDescent="0.4"/>
    <row r="112" spans="1:6" ht="12.75" customHeight="1" x14ac:dyDescent="0.4"/>
    <row r="113" ht="12.75" customHeight="1" x14ac:dyDescent="0.4"/>
    <row r="114" ht="12.75" customHeight="1" x14ac:dyDescent="0.4"/>
    <row r="115" ht="12.75" customHeight="1" x14ac:dyDescent="0.4"/>
    <row r="116" ht="12.75" customHeight="1" x14ac:dyDescent="0.4"/>
    <row r="117" ht="12.75" customHeight="1" x14ac:dyDescent="0.4"/>
    <row r="118" ht="12.75" customHeight="1" x14ac:dyDescent="0.4"/>
    <row r="119" ht="12.75" customHeight="1" x14ac:dyDescent="0.4"/>
    <row r="120" ht="12.75" customHeight="1" x14ac:dyDescent="0.4"/>
    <row r="121" ht="12.75" customHeight="1" x14ac:dyDescent="0.4"/>
    <row r="122" ht="12.75" customHeight="1" x14ac:dyDescent="0.4"/>
    <row r="123" ht="12.75" customHeight="1" x14ac:dyDescent="0.4"/>
    <row r="124" ht="12.75" customHeight="1" x14ac:dyDescent="0.4"/>
    <row r="125" ht="12.75" customHeight="1" x14ac:dyDescent="0.4"/>
    <row r="126" ht="12.75" customHeight="1" x14ac:dyDescent="0.4"/>
    <row r="127" ht="12.75" customHeight="1" x14ac:dyDescent="0.4"/>
    <row r="128" ht="12.75" customHeight="1" x14ac:dyDescent="0.4"/>
    <row r="129" ht="12.75" customHeight="1" x14ac:dyDescent="0.4"/>
    <row r="130" ht="12.75" customHeight="1" x14ac:dyDescent="0.4"/>
    <row r="131" ht="12.75" customHeight="1" x14ac:dyDescent="0.4"/>
    <row r="132" ht="12.75" customHeight="1" x14ac:dyDescent="0.4"/>
    <row r="133" ht="12.75" customHeight="1" x14ac:dyDescent="0.4"/>
    <row r="134" ht="12.75" customHeight="1" x14ac:dyDescent="0.4"/>
    <row r="135" ht="12.75" customHeight="1" x14ac:dyDescent="0.4"/>
    <row r="136" ht="12.75" customHeight="1" x14ac:dyDescent="0.4"/>
    <row r="137" ht="12.75" customHeight="1" x14ac:dyDescent="0.4"/>
    <row r="138" ht="12.75" customHeight="1" x14ac:dyDescent="0.4"/>
    <row r="139" ht="12.75" customHeight="1" x14ac:dyDescent="0.4"/>
    <row r="140" ht="12.75" customHeight="1" x14ac:dyDescent="0.4"/>
    <row r="141" ht="12.75" customHeight="1" x14ac:dyDescent="0.4"/>
    <row r="142" ht="12.75" customHeight="1" x14ac:dyDescent="0.4"/>
    <row r="143" ht="12.75" customHeight="1" x14ac:dyDescent="0.4"/>
    <row r="144" ht="12.75" customHeight="1" x14ac:dyDescent="0.4"/>
    <row r="145" ht="12.75" customHeight="1" x14ac:dyDescent="0.4"/>
    <row r="146" ht="12.75" customHeight="1" x14ac:dyDescent="0.4"/>
    <row r="147" ht="12.75" customHeight="1" x14ac:dyDescent="0.4"/>
    <row r="148" ht="12.75" customHeight="1" x14ac:dyDescent="0.4"/>
    <row r="149" ht="12.75" customHeight="1" x14ac:dyDescent="0.4"/>
    <row r="150" ht="12.75" customHeight="1" x14ac:dyDescent="0.4"/>
    <row r="151" ht="12.75" customHeight="1" x14ac:dyDescent="0.4"/>
    <row r="152" ht="12.75" customHeight="1" x14ac:dyDescent="0.4"/>
    <row r="153" ht="12.75" customHeight="1" x14ac:dyDescent="0.4"/>
    <row r="154" ht="12.75" customHeight="1" x14ac:dyDescent="0.4"/>
    <row r="155" ht="12.75" customHeight="1" x14ac:dyDescent="0.4"/>
    <row r="156" ht="12.75" customHeight="1" x14ac:dyDescent="0.4"/>
    <row r="157" ht="12.75" customHeight="1" x14ac:dyDescent="0.4"/>
    <row r="158" ht="12.75" customHeight="1" x14ac:dyDescent="0.4"/>
    <row r="159" ht="12.75" customHeight="1" x14ac:dyDescent="0.4"/>
    <row r="160" ht="12.75" customHeight="1" x14ac:dyDescent="0.4"/>
    <row r="161" ht="12.75" customHeight="1" x14ac:dyDescent="0.4"/>
    <row r="162" ht="12.75" customHeight="1" x14ac:dyDescent="0.4"/>
    <row r="163" ht="12.75" customHeight="1" x14ac:dyDescent="0.4"/>
    <row r="164" ht="12.75" customHeight="1" x14ac:dyDescent="0.4"/>
    <row r="165" ht="12.75" customHeight="1" x14ac:dyDescent="0.4"/>
    <row r="166" ht="12.75" customHeight="1" x14ac:dyDescent="0.4"/>
    <row r="167" ht="12.75" customHeight="1" x14ac:dyDescent="0.4"/>
    <row r="168" ht="12.75" customHeight="1" x14ac:dyDescent="0.4"/>
    <row r="169" ht="12.75" customHeight="1" x14ac:dyDescent="0.4"/>
    <row r="170" ht="12.75" customHeight="1" x14ac:dyDescent="0.4"/>
    <row r="171" ht="12.75" customHeight="1" x14ac:dyDescent="0.4"/>
    <row r="172" ht="12.75" customHeight="1" x14ac:dyDescent="0.4"/>
    <row r="173" ht="12.75" customHeight="1" x14ac:dyDescent="0.4"/>
    <row r="174" ht="12.75" customHeight="1" x14ac:dyDescent="0.4"/>
    <row r="175" ht="12.75" customHeight="1" x14ac:dyDescent="0.4"/>
    <row r="176" ht="12.75" customHeight="1" x14ac:dyDescent="0.4"/>
    <row r="177" ht="12.75" customHeight="1" x14ac:dyDescent="0.4"/>
    <row r="178" ht="12.75" customHeight="1" x14ac:dyDescent="0.4"/>
    <row r="179" ht="12.75" customHeight="1" x14ac:dyDescent="0.4"/>
    <row r="180" ht="12.75" customHeight="1" x14ac:dyDescent="0.4"/>
    <row r="181" ht="12.75" customHeight="1" x14ac:dyDescent="0.4"/>
    <row r="182" ht="12.75" customHeight="1" x14ac:dyDescent="0.4"/>
    <row r="183" ht="12.75" customHeight="1" x14ac:dyDescent="0.4"/>
    <row r="184" ht="12.75" customHeight="1" x14ac:dyDescent="0.4"/>
    <row r="185" ht="12.75" customHeight="1" x14ac:dyDescent="0.4"/>
    <row r="186" ht="12.75" customHeight="1" x14ac:dyDescent="0.4"/>
    <row r="187" ht="12.75" customHeight="1" x14ac:dyDescent="0.4"/>
    <row r="188" ht="12.75" customHeight="1" x14ac:dyDescent="0.4"/>
    <row r="189" ht="12.75" customHeight="1" x14ac:dyDescent="0.4"/>
    <row r="190" ht="12.75" customHeight="1" x14ac:dyDescent="0.4"/>
    <row r="191" ht="12.75" customHeight="1" x14ac:dyDescent="0.4"/>
    <row r="192" ht="12.75" customHeight="1" x14ac:dyDescent="0.4"/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254" ht="12.75" customHeight="1" x14ac:dyDescent="0.4"/>
    <row r="255" ht="12.75" customHeight="1" x14ac:dyDescent="0.4"/>
    <row r="256" ht="12.75" customHeight="1" x14ac:dyDescent="0.4"/>
    <row r="257" ht="12.75" customHeight="1" x14ac:dyDescent="0.4"/>
    <row r="258" ht="12.75" customHeight="1" x14ac:dyDescent="0.4"/>
    <row r="259" ht="12.75" customHeight="1" x14ac:dyDescent="0.4"/>
    <row r="260" ht="12.75" customHeight="1" x14ac:dyDescent="0.4"/>
    <row r="261" ht="12.75" customHeight="1" x14ac:dyDescent="0.4"/>
    <row r="262" ht="12.75" customHeight="1" x14ac:dyDescent="0.4"/>
    <row r="263" ht="12.75" customHeight="1" x14ac:dyDescent="0.4"/>
    <row r="264" ht="12.75" customHeight="1" x14ac:dyDescent="0.4"/>
    <row r="265" ht="12.75" customHeight="1" x14ac:dyDescent="0.4"/>
    <row r="266" ht="12.75" customHeight="1" x14ac:dyDescent="0.4"/>
    <row r="267" ht="12.75" customHeight="1" x14ac:dyDescent="0.4"/>
    <row r="268" ht="12.75" customHeight="1" x14ac:dyDescent="0.4"/>
    <row r="269" ht="12.75" customHeight="1" x14ac:dyDescent="0.4"/>
    <row r="270" ht="12.75" customHeight="1" x14ac:dyDescent="0.4"/>
    <row r="271" ht="12.75" customHeight="1" x14ac:dyDescent="0.4"/>
    <row r="272" ht="12.75" customHeight="1" x14ac:dyDescent="0.4"/>
    <row r="273" ht="12.75" customHeight="1" x14ac:dyDescent="0.4"/>
    <row r="274" ht="12.75" customHeight="1" x14ac:dyDescent="0.4"/>
    <row r="275" ht="12.75" customHeight="1" x14ac:dyDescent="0.4"/>
    <row r="276" ht="12.75" customHeight="1" x14ac:dyDescent="0.4"/>
    <row r="277" ht="12.75" customHeight="1" x14ac:dyDescent="0.4"/>
    <row r="278" ht="12.75" customHeight="1" x14ac:dyDescent="0.4"/>
    <row r="279" ht="12.75" customHeight="1" x14ac:dyDescent="0.4"/>
    <row r="280" ht="12.75" customHeight="1" x14ac:dyDescent="0.4"/>
    <row r="281" ht="12.75" customHeight="1" x14ac:dyDescent="0.4"/>
    <row r="282" ht="12.75" customHeight="1" x14ac:dyDescent="0.4"/>
    <row r="283" ht="12.75" customHeight="1" x14ac:dyDescent="0.4"/>
    <row r="284" ht="12.75" customHeight="1" x14ac:dyDescent="0.4"/>
    <row r="285" ht="12.75" customHeight="1" x14ac:dyDescent="0.4"/>
    <row r="286" ht="12.75" customHeight="1" x14ac:dyDescent="0.4"/>
    <row r="287" ht="12.75" customHeight="1" x14ac:dyDescent="0.4"/>
    <row r="288" ht="12.75" customHeight="1" x14ac:dyDescent="0.4"/>
    <row r="289" ht="12.75" customHeight="1" x14ac:dyDescent="0.4"/>
    <row r="290" ht="12.75" customHeight="1" x14ac:dyDescent="0.4"/>
    <row r="291" ht="12.75" customHeight="1" x14ac:dyDescent="0.4"/>
    <row r="292" ht="12.75" customHeight="1" x14ac:dyDescent="0.4"/>
    <row r="293" ht="12.75" customHeight="1" x14ac:dyDescent="0.4"/>
    <row r="294" ht="12.75" customHeight="1" x14ac:dyDescent="0.4"/>
    <row r="295" ht="12.75" customHeight="1" x14ac:dyDescent="0.4"/>
    <row r="296" ht="12.75" customHeight="1" x14ac:dyDescent="0.4"/>
    <row r="297" ht="12.75" customHeight="1" x14ac:dyDescent="0.4"/>
    <row r="298" ht="12.75" customHeight="1" x14ac:dyDescent="0.4"/>
    <row r="299" ht="12.75" customHeight="1" x14ac:dyDescent="0.4"/>
    <row r="300" ht="12.75" customHeight="1" x14ac:dyDescent="0.4"/>
    <row r="301" ht="12.75" customHeight="1" x14ac:dyDescent="0.4"/>
    <row r="302" ht="12.75" customHeight="1" x14ac:dyDescent="0.4"/>
    <row r="303" ht="12.75" customHeight="1" x14ac:dyDescent="0.4"/>
    <row r="304" ht="12.75" customHeight="1" x14ac:dyDescent="0.4"/>
    <row r="305" ht="12.75" customHeight="1" x14ac:dyDescent="0.4"/>
    <row r="306" ht="12.75" customHeight="1" x14ac:dyDescent="0.4"/>
    <row r="307" ht="12.75" customHeight="1" x14ac:dyDescent="0.4"/>
    <row r="308" ht="12.75" customHeight="1" x14ac:dyDescent="0.4"/>
    <row r="309" ht="12.75" customHeight="1" x14ac:dyDescent="0.4"/>
    <row r="310" ht="12.75" customHeight="1" x14ac:dyDescent="0.4"/>
    <row r="311" ht="12.75" customHeight="1" x14ac:dyDescent="0.4"/>
    <row r="312" ht="12.75" customHeight="1" x14ac:dyDescent="0.4"/>
    <row r="313" ht="12.75" customHeight="1" x14ac:dyDescent="0.4"/>
    <row r="314" ht="12.75" customHeight="1" x14ac:dyDescent="0.4"/>
    <row r="315" ht="12.75" customHeight="1" x14ac:dyDescent="0.4"/>
    <row r="316" ht="12.75" customHeight="1" x14ac:dyDescent="0.4"/>
    <row r="317" ht="12.75" customHeight="1" x14ac:dyDescent="0.4"/>
    <row r="318" ht="12.75" customHeight="1" x14ac:dyDescent="0.4"/>
    <row r="319" ht="12.75" customHeight="1" x14ac:dyDescent="0.4"/>
    <row r="320" ht="12.75" customHeight="1" x14ac:dyDescent="0.4"/>
    <row r="321" ht="12.75" customHeight="1" x14ac:dyDescent="0.4"/>
    <row r="322" ht="12.75" customHeight="1" x14ac:dyDescent="0.4"/>
    <row r="323" ht="12.75" customHeight="1" x14ac:dyDescent="0.4"/>
    <row r="324" ht="12.75" customHeight="1" x14ac:dyDescent="0.4"/>
    <row r="325" ht="12.75" customHeight="1" x14ac:dyDescent="0.4"/>
    <row r="326" ht="12.75" customHeight="1" x14ac:dyDescent="0.4"/>
    <row r="327" ht="12.75" customHeight="1" x14ac:dyDescent="0.4"/>
    <row r="328" ht="12.75" customHeight="1" x14ac:dyDescent="0.4"/>
    <row r="329" ht="12.75" customHeight="1" x14ac:dyDescent="0.4"/>
    <row r="330" ht="12.75" customHeight="1" x14ac:dyDescent="0.4"/>
    <row r="331" ht="12.75" customHeight="1" x14ac:dyDescent="0.4"/>
    <row r="332" ht="12.75" customHeight="1" x14ac:dyDescent="0.4"/>
    <row r="333" ht="12.75" customHeight="1" x14ac:dyDescent="0.4"/>
    <row r="334" ht="12.75" customHeight="1" x14ac:dyDescent="0.4"/>
    <row r="335" ht="12.75" customHeight="1" x14ac:dyDescent="0.4"/>
    <row r="336" ht="12.75" customHeight="1" x14ac:dyDescent="0.4"/>
    <row r="337" ht="12.75" customHeight="1" x14ac:dyDescent="0.4"/>
    <row r="338" ht="12.75" customHeight="1" x14ac:dyDescent="0.4"/>
    <row r="339" ht="12.75" customHeight="1" x14ac:dyDescent="0.4"/>
    <row r="340" ht="12.75" customHeight="1" x14ac:dyDescent="0.4"/>
    <row r="341" ht="12.75" customHeight="1" x14ac:dyDescent="0.4"/>
    <row r="342" ht="12.75" customHeight="1" x14ac:dyDescent="0.4"/>
    <row r="343" ht="12.75" customHeight="1" x14ac:dyDescent="0.4"/>
    <row r="344" ht="12.75" customHeight="1" x14ac:dyDescent="0.4"/>
    <row r="345" ht="12.75" customHeight="1" x14ac:dyDescent="0.4"/>
    <row r="346" ht="12.75" customHeight="1" x14ac:dyDescent="0.4"/>
    <row r="347" ht="12.75" customHeight="1" x14ac:dyDescent="0.4"/>
    <row r="348" ht="12.75" customHeight="1" x14ac:dyDescent="0.4"/>
    <row r="349" ht="12.75" customHeight="1" x14ac:dyDescent="0.4"/>
    <row r="350" ht="12.75" customHeight="1" x14ac:dyDescent="0.4"/>
    <row r="351" ht="12.75" customHeight="1" x14ac:dyDescent="0.4"/>
    <row r="352" ht="12.75" customHeight="1" x14ac:dyDescent="0.4"/>
    <row r="353" ht="12.75" customHeight="1" x14ac:dyDescent="0.4"/>
    <row r="354" ht="12.75" customHeight="1" x14ac:dyDescent="0.4"/>
    <row r="355" ht="12.75" customHeight="1" x14ac:dyDescent="0.4"/>
    <row r="356" ht="12.75" customHeight="1" x14ac:dyDescent="0.4"/>
    <row r="357" ht="12.75" customHeight="1" x14ac:dyDescent="0.4"/>
    <row r="358" ht="12.75" customHeight="1" x14ac:dyDescent="0.4"/>
    <row r="359" ht="12.75" customHeight="1" x14ac:dyDescent="0.4"/>
    <row r="360" ht="12.75" customHeight="1" x14ac:dyDescent="0.4"/>
    <row r="361" ht="12.75" customHeight="1" x14ac:dyDescent="0.4"/>
    <row r="362" ht="12.75" customHeight="1" x14ac:dyDescent="0.4"/>
    <row r="363" ht="12.75" customHeight="1" x14ac:dyDescent="0.4"/>
    <row r="364" ht="12.75" customHeight="1" x14ac:dyDescent="0.4"/>
    <row r="365" ht="12.75" customHeight="1" x14ac:dyDescent="0.4"/>
    <row r="366" ht="12.75" customHeight="1" x14ac:dyDescent="0.4"/>
    <row r="367" ht="12.75" customHeight="1" x14ac:dyDescent="0.4"/>
    <row r="368" ht="12.75" customHeight="1" x14ac:dyDescent="0.4"/>
    <row r="369" ht="12.75" customHeight="1" x14ac:dyDescent="0.4"/>
    <row r="370" ht="12.75" customHeight="1" x14ac:dyDescent="0.4"/>
    <row r="371" ht="12.75" customHeight="1" x14ac:dyDescent="0.4"/>
    <row r="372" ht="12.75" customHeight="1" x14ac:dyDescent="0.4"/>
    <row r="373" ht="12.75" customHeight="1" x14ac:dyDescent="0.4"/>
    <row r="374" ht="12.75" customHeight="1" x14ac:dyDescent="0.4"/>
    <row r="375" ht="12.75" customHeight="1" x14ac:dyDescent="0.4"/>
    <row r="376" ht="12.75" customHeight="1" x14ac:dyDescent="0.4"/>
    <row r="377" ht="12.75" customHeight="1" x14ac:dyDescent="0.4"/>
    <row r="378" ht="12.75" customHeight="1" x14ac:dyDescent="0.4"/>
    <row r="379" ht="12.75" customHeight="1" x14ac:dyDescent="0.4"/>
    <row r="380" ht="12.75" customHeight="1" x14ac:dyDescent="0.4"/>
    <row r="381" ht="12.75" customHeight="1" x14ac:dyDescent="0.4"/>
    <row r="382" ht="12.75" customHeight="1" x14ac:dyDescent="0.4"/>
    <row r="383" ht="12.75" customHeight="1" x14ac:dyDescent="0.4"/>
    <row r="384" ht="12.75" customHeight="1" x14ac:dyDescent="0.4"/>
    <row r="385" ht="12.75" customHeight="1" x14ac:dyDescent="0.4"/>
    <row r="386" ht="12.75" customHeight="1" x14ac:dyDescent="0.4"/>
    <row r="387" ht="12.75" customHeight="1" x14ac:dyDescent="0.4"/>
    <row r="388" ht="12.75" customHeight="1" x14ac:dyDescent="0.4"/>
    <row r="389" ht="12.75" customHeight="1" x14ac:dyDescent="0.4"/>
    <row r="390" ht="12.75" customHeight="1" x14ac:dyDescent="0.4"/>
    <row r="391" ht="12.75" customHeight="1" x14ac:dyDescent="0.4"/>
    <row r="392" ht="12.75" customHeight="1" x14ac:dyDescent="0.4"/>
    <row r="393" ht="12.75" customHeight="1" x14ac:dyDescent="0.4"/>
    <row r="394" ht="12.75" customHeight="1" x14ac:dyDescent="0.4"/>
    <row r="395" ht="12.75" customHeight="1" x14ac:dyDescent="0.4"/>
    <row r="396" ht="12.75" customHeight="1" x14ac:dyDescent="0.4"/>
    <row r="397" ht="12.75" customHeight="1" x14ac:dyDescent="0.4"/>
    <row r="398" ht="12.75" customHeight="1" x14ac:dyDescent="0.4"/>
    <row r="399" ht="12.75" customHeight="1" x14ac:dyDescent="0.4"/>
    <row r="400" ht="12.75" customHeight="1" x14ac:dyDescent="0.4"/>
    <row r="401" ht="12.75" customHeight="1" x14ac:dyDescent="0.4"/>
    <row r="402" ht="12.75" customHeight="1" x14ac:dyDescent="0.4"/>
    <row r="403" ht="12.75" customHeight="1" x14ac:dyDescent="0.4"/>
    <row r="404" ht="12.75" customHeight="1" x14ac:dyDescent="0.4"/>
    <row r="405" ht="12.75" customHeight="1" x14ac:dyDescent="0.4"/>
    <row r="406" ht="12.75" customHeight="1" x14ac:dyDescent="0.4"/>
    <row r="407" ht="12.75" customHeight="1" x14ac:dyDescent="0.4"/>
    <row r="408" ht="12.75" customHeight="1" x14ac:dyDescent="0.4"/>
    <row r="409" ht="12.75" customHeight="1" x14ac:dyDescent="0.4"/>
    <row r="410" ht="12.75" customHeight="1" x14ac:dyDescent="0.4"/>
    <row r="411" ht="12.75" customHeight="1" x14ac:dyDescent="0.4"/>
    <row r="412" ht="12.75" customHeight="1" x14ac:dyDescent="0.4"/>
    <row r="413" ht="12.75" customHeight="1" x14ac:dyDescent="0.4"/>
    <row r="414" ht="12.75" customHeight="1" x14ac:dyDescent="0.4"/>
    <row r="415" ht="12.75" customHeight="1" x14ac:dyDescent="0.4"/>
    <row r="416" ht="12.75" customHeight="1" x14ac:dyDescent="0.4"/>
    <row r="417" ht="12.75" customHeight="1" x14ac:dyDescent="0.4"/>
    <row r="418" ht="12.75" customHeight="1" x14ac:dyDescent="0.4"/>
    <row r="419" ht="12.75" customHeight="1" x14ac:dyDescent="0.4"/>
    <row r="420" ht="12.75" customHeight="1" x14ac:dyDescent="0.4"/>
    <row r="421" ht="12.75" customHeight="1" x14ac:dyDescent="0.4"/>
    <row r="422" ht="12.75" customHeight="1" x14ac:dyDescent="0.4"/>
    <row r="423" ht="12.75" customHeight="1" x14ac:dyDescent="0.4"/>
    <row r="424" ht="12.75" customHeight="1" x14ac:dyDescent="0.4"/>
    <row r="425" ht="12.75" customHeight="1" x14ac:dyDescent="0.4"/>
    <row r="426" ht="12.75" customHeight="1" x14ac:dyDescent="0.4"/>
    <row r="427" ht="12.75" customHeight="1" x14ac:dyDescent="0.4"/>
    <row r="428" ht="12.75" customHeight="1" x14ac:dyDescent="0.4"/>
    <row r="429" ht="12.75" customHeight="1" x14ac:dyDescent="0.4"/>
    <row r="430" ht="12.75" customHeight="1" x14ac:dyDescent="0.4"/>
    <row r="431" ht="12.75" customHeight="1" x14ac:dyDescent="0.4"/>
    <row r="432" ht="12.75" customHeight="1" x14ac:dyDescent="0.4"/>
    <row r="433" ht="12.75" customHeight="1" x14ac:dyDescent="0.4"/>
    <row r="434" ht="12.75" customHeight="1" x14ac:dyDescent="0.4"/>
    <row r="435" ht="12.75" customHeight="1" x14ac:dyDescent="0.4"/>
    <row r="436" ht="12.75" customHeight="1" x14ac:dyDescent="0.4"/>
    <row r="437" ht="12.75" customHeight="1" x14ac:dyDescent="0.4"/>
    <row r="438" ht="12.75" customHeight="1" x14ac:dyDescent="0.4"/>
    <row r="439" ht="12.75" customHeight="1" x14ac:dyDescent="0.4"/>
    <row r="440" ht="12.75" customHeight="1" x14ac:dyDescent="0.4"/>
    <row r="441" ht="12.75" customHeight="1" x14ac:dyDescent="0.4"/>
    <row r="442" ht="12.75" customHeight="1" x14ac:dyDescent="0.4"/>
    <row r="443" ht="12.75" customHeight="1" x14ac:dyDescent="0.4"/>
    <row r="444" ht="12.75" customHeight="1" x14ac:dyDescent="0.4"/>
    <row r="445" ht="12.75" customHeight="1" x14ac:dyDescent="0.4"/>
    <row r="446" ht="12.75" customHeight="1" x14ac:dyDescent="0.4"/>
    <row r="447" ht="12.75" customHeight="1" x14ac:dyDescent="0.4"/>
    <row r="448" ht="12.75" customHeight="1" x14ac:dyDescent="0.4"/>
    <row r="449" ht="12.75" customHeight="1" x14ac:dyDescent="0.4"/>
    <row r="450" ht="12.75" customHeight="1" x14ac:dyDescent="0.4"/>
    <row r="451" ht="12.75" customHeight="1" x14ac:dyDescent="0.4"/>
    <row r="452" ht="12.75" customHeight="1" x14ac:dyDescent="0.4"/>
    <row r="453" ht="12.75" customHeight="1" x14ac:dyDescent="0.4"/>
    <row r="454" ht="12.75" customHeight="1" x14ac:dyDescent="0.4"/>
    <row r="455" ht="12.75" customHeight="1" x14ac:dyDescent="0.4"/>
    <row r="456" ht="12.75" customHeight="1" x14ac:dyDescent="0.4"/>
    <row r="457" ht="12.75" customHeight="1" x14ac:dyDescent="0.4"/>
    <row r="458" ht="12.75" customHeight="1" x14ac:dyDescent="0.4"/>
    <row r="459" ht="12.75" customHeight="1" x14ac:dyDescent="0.4"/>
    <row r="460" ht="12.75" customHeight="1" x14ac:dyDescent="0.4"/>
    <row r="461" ht="12.75" customHeight="1" x14ac:dyDescent="0.4"/>
    <row r="462" ht="12.75" customHeight="1" x14ac:dyDescent="0.4"/>
    <row r="463" ht="12.75" customHeight="1" x14ac:dyDescent="0.4"/>
    <row r="464" ht="12.75" customHeight="1" x14ac:dyDescent="0.4"/>
    <row r="465" ht="12.75" customHeight="1" x14ac:dyDescent="0.4"/>
    <row r="466" ht="12.75" customHeight="1" x14ac:dyDescent="0.4"/>
    <row r="467" ht="12.75" customHeight="1" x14ac:dyDescent="0.4"/>
    <row r="468" ht="12.75" customHeight="1" x14ac:dyDescent="0.4"/>
    <row r="469" ht="12.75" customHeight="1" x14ac:dyDescent="0.4"/>
    <row r="470" ht="12.75" customHeight="1" x14ac:dyDescent="0.4"/>
    <row r="471" ht="12.75" customHeight="1" x14ac:dyDescent="0.4"/>
    <row r="472" ht="12.75" customHeight="1" x14ac:dyDescent="0.4"/>
    <row r="473" ht="12.75" customHeight="1" x14ac:dyDescent="0.4"/>
    <row r="474" ht="12.75" customHeight="1" x14ac:dyDescent="0.4"/>
    <row r="475" ht="12.75" customHeight="1" x14ac:dyDescent="0.4"/>
    <row r="476" ht="12.75" customHeight="1" x14ac:dyDescent="0.4"/>
    <row r="477" ht="12.75" customHeight="1" x14ac:dyDescent="0.4"/>
    <row r="478" ht="12.75" customHeight="1" x14ac:dyDescent="0.4"/>
    <row r="479" ht="12.75" customHeight="1" x14ac:dyDescent="0.4"/>
    <row r="480" ht="12.75" customHeight="1" x14ac:dyDescent="0.4"/>
    <row r="481" ht="12.75" customHeight="1" x14ac:dyDescent="0.4"/>
    <row r="482" ht="12.75" customHeight="1" x14ac:dyDescent="0.4"/>
    <row r="483" ht="12.75" customHeight="1" x14ac:dyDescent="0.4"/>
    <row r="484" ht="12.75" customHeight="1" x14ac:dyDescent="0.4"/>
    <row r="485" ht="12.75" customHeight="1" x14ac:dyDescent="0.4"/>
    <row r="486" ht="12.75" customHeight="1" x14ac:dyDescent="0.4"/>
    <row r="487" ht="12.75" customHeight="1" x14ac:dyDescent="0.4"/>
    <row r="488" ht="12.75" customHeight="1" x14ac:dyDescent="0.4"/>
    <row r="489" ht="12.75" customHeight="1" x14ac:dyDescent="0.4"/>
    <row r="490" ht="12.75" customHeight="1" x14ac:dyDescent="0.4"/>
    <row r="491" ht="12.75" customHeight="1" x14ac:dyDescent="0.4"/>
    <row r="492" ht="12.75" customHeight="1" x14ac:dyDescent="0.4"/>
    <row r="493" ht="12.75" customHeight="1" x14ac:dyDescent="0.4"/>
    <row r="494" ht="12.75" customHeight="1" x14ac:dyDescent="0.4"/>
    <row r="495" ht="12.75" customHeight="1" x14ac:dyDescent="0.4"/>
    <row r="496" ht="12.75" customHeight="1" x14ac:dyDescent="0.4"/>
    <row r="497" ht="12.75" customHeight="1" x14ac:dyDescent="0.4"/>
    <row r="498" ht="12.75" customHeight="1" x14ac:dyDescent="0.4"/>
    <row r="499" ht="12.75" customHeight="1" x14ac:dyDescent="0.4"/>
    <row r="500" ht="12.75" customHeight="1" x14ac:dyDescent="0.4"/>
    <row r="501" ht="12.75" customHeight="1" x14ac:dyDescent="0.4"/>
    <row r="502" ht="12.75" customHeight="1" x14ac:dyDescent="0.4"/>
    <row r="503" ht="12.75" customHeight="1" x14ac:dyDescent="0.4"/>
    <row r="504" ht="12.75" customHeight="1" x14ac:dyDescent="0.4"/>
    <row r="505" ht="12.75" customHeight="1" x14ac:dyDescent="0.4"/>
    <row r="506" ht="12.75" customHeight="1" x14ac:dyDescent="0.4"/>
    <row r="507" ht="12.75" customHeight="1" x14ac:dyDescent="0.4"/>
    <row r="508" ht="12.75" customHeight="1" x14ac:dyDescent="0.4"/>
    <row r="509" ht="12.75" customHeight="1" x14ac:dyDescent="0.4"/>
    <row r="510" ht="12.75" customHeight="1" x14ac:dyDescent="0.4"/>
    <row r="511" ht="12.75" customHeight="1" x14ac:dyDescent="0.4"/>
    <row r="512" ht="12.75" customHeight="1" x14ac:dyDescent="0.4"/>
    <row r="513" ht="12.75" customHeight="1" x14ac:dyDescent="0.4"/>
    <row r="514" ht="12.75" customHeight="1" x14ac:dyDescent="0.4"/>
    <row r="515" ht="12.75" customHeight="1" x14ac:dyDescent="0.4"/>
    <row r="516" ht="12.75" customHeight="1" x14ac:dyDescent="0.4"/>
    <row r="517" ht="12.75" customHeight="1" x14ac:dyDescent="0.4"/>
    <row r="518" ht="12.75" customHeight="1" x14ac:dyDescent="0.4"/>
    <row r="519" ht="12.75" customHeight="1" x14ac:dyDescent="0.4"/>
    <row r="520" ht="12.75" customHeight="1" x14ac:dyDescent="0.4"/>
    <row r="521" ht="12.75" customHeight="1" x14ac:dyDescent="0.4"/>
    <row r="522" ht="12.75" customHeight="1" x14ac:dyDescent="0.4"/>
    <row r="523" ht="12.75" customHeight="1" x14ac:dyDescent="0.4"/>
    <row r="524" ht="12.75" customHeight="1" x14ac:dyDescent="0.4"/>
    <row r="525" ht="12.75" customHeight="1" x14ac:dyDescent="0.4"/>
    <row r="526" ht="12.75" customHeight="1" x14ac:dyDescent="0.4"/>
    <row r="527" ht="12.75" customHeight="1" x14ac:dyDescent="0.4"/>
    <row r="528" ht="12.75" customHeight="1" x14ac:dyDescent="0.4"/>
    <row r="529" ht="12.75" customHeight="1" x14ac:dyDescent="0.4"/>
    <row r="530" ht="12.75" customHeight="1" x14ac:dyDescent="0.4"/>
    <row r="531" ht="12.75" customHeight="1" x14ac:dyDescent="0.4"/>
    <row r="532" ht="12.75" customHeight="1" x14ac:dyDescent="0.4"/>
    <row r="533" ht="12.75" customHeight="1" x14ac:dyDescent="0.4"/>
    <row r="534" ht="12.75" customHeight="1" x14ac:dyDescent="0.4"/>
    <row r="535" ht="12.75" customHeight="1" x14ac:dyDescent="0.4"/>
    <row r="536" ht="12.75" customHeight="1" x14ac:dyDescent="0.4"/>
    <row r="537" ht="12.75" customHeight="1" x14ac:dyDescent="0.4"/>
    <row r="538" ht="12.75" customHeight="1" x14ac:dyDescent="0.4"/>
    <row r="539" ht="12.75" customHeight="1" x14ac:dyDescent="0.4"/>
    <row r="540" ht="12.75" customHeight="1" x14ac:dyDescent="0.4"/>
    <row r="541" ht="12.75" customHeight="1" x14ac:dyDescent="0.4"/>
    <row r="542" ht="12.75" customHeight="1" x14ac:dyDescent="0.4"/>
    <row r="543" ht="12.75" customHeight="1" x14ac:dyDescent="0.4"/>
    <row r="544" ht="12.75" customHeight="1" x14ac:dyDescent="0.4"/>
    <row r="545" ht="12.75" customHeight="1" x14ac:dyDescent="0.4"/>
    <row r="546" ht="12.75" customHeight="1" x14ac:dyDescent="0.4"/>
    <row r="547" ht="12.75" customHeight="1" x14ac:dyDescent="0.4"/>
    <row r="548" ht="12.75" customHeight="1" x14ac:dyDescent="0.4"/>
    <row r="549" ht="12.75" customHeight="1" x14ac:dyDescent="0.4"/>
    <row r="550" ht="12.75" customHeight="1" x14ac:dyDescent="0.4"/>
    <row r="551" ht="12.75" customHeight="1" x14ac:dyDescent="0.4"/>
    <row r="552" ht="12.75" customHeight="1" x14ac:dyDescent="0.4"/>
    <row r="553" ht="12.75" customHeight="1" x14ac:dyDescent="0.4"/>
    <row r="554" ht="12.75" customHeight="1" x14ac:dyDescent="0.4"/>
    <row r="555" ht="12.75" customHeight="1" x14ac:dyDescent="0.4"/>
    <row r="556" ht="12.75" customHeight="1" x14ac:dyDescent="0.4"/>
    <row r="557" ht="12.75" customHeight="1" x14ac:dyDescent="0.4"/>
    <row r="558" ht="12.75" customHeight="1" x14ac:dyDescent="0.4"/>
    <row r="559" ht="12.75" customHeight="1" x14ac:dyDescent="0.4"/>
    <row r="560" ht="12.75" customHeight="1" x14ac:dyDescent="0.4"/>
    <row r="561" ht="12.75" customHeight="1" x14ac:dyDescent="0.4"/>
    <row r="562" ht="12.75" customHeight="1" x14ac:dyDescent="0.4"/>
    <row r="563" ht="12.75" customHeight="1" x14ac:dyDescent="0.4"/>
    <row r="564" ht="12.75" customHeight="1" x14ac:dyDescent="0.4"/>
    <row r="565" ht="12.75" customHeight="1" x14ac:dyDescent="0.4"/>
    <row r="566" ht="12.75" customHeight="1" x14ac:dyDescent="0.4"/>
    <row r="567" ht="12.75" customHeight="1" x14ac:dyDescent="0.4"/>
    <row r="568" ht="12.75" customHeight="1" x14ac:dyDescent="0.4"/>
    <row r="569" ht="12.75" customHeight="1" x14ac:dyDescent="0.4"/>
    <row r="570" ht="12.75" customHeight="1" x14ac:dyDescent="0.4"/>
    <row r="571" ht="12.75" customHeight="1" x14ac:dyDescent="0.4"/>
    <row r="572" ht="12.75" customHeight="1" x14ac:dyDescent="0.4"/>
    <row r="573" ht="12.75" customHeight="1" x14ac:dyDescent="0.4"/>
    <row r="574" ht="12.75" customHeight="1" x14ac:dyDescent="0.4"/>
    <row r="575" ht="12.75" customHeight="1" x14ac:dyDescent="0.4"/>
    <row r="576" ht="12.75" customHeight="1" x14ac:dyDescent="0.4"/>
    <row r="577" ht="12.75" customHeight="1" x14ac:dyDescent="0.4"/>
    <row r="578" ht="12.75" customHeight="1" x14ac:dyDescent="0.4"/>
    <row r="579" ht="12.75" customHeight="1" x14ac:dyDescent="0.4"/>
    <row r="580" ht="12.75" customHeight="1" x14ac:dyDescent="0.4"/>
    <row r="581" ht="12.75" customHeight="1" x14ac:dyDescent="0.4"/>
    <row r="582" ht="12.75" customHeight="1" x14ac:dyDescent="0.4"/>
    <row r="583" ht="12.75" customHeight="1" x14ac:dyDescent="0.4"/>
    <row r="584" ht="12.75" customHeight="1" x14ac:dyDescent="0.4"/>
    <row r="585" ht="12.75" customHeight="1" x14ac:dyDescent="0.4"/>
    <row r="586" ht="12.75" customHeight="1" x14ac:dyDescent="0.4"/>
    <row r="587" ht="12.75" customHeight="1" x14ac:dyDescent="0.4"/>
    <row r="588" ht="12.75" customHeight="1" x14ac:dyDescent="0.4"/>
    <row r="589" ht="12.75" customHeight="1" x14ac:dyDescent="0.4"/>
    <row r="590" ht="12.75" customHeight="1" x14ac:dyDescent="0.4"/>
    <row r="591" ht="12.75" customHeight="1" x14ac:dyDescent="0.4"/>
    <row r="592" ht="12.75" customHeight="1" x14ac:dyDescent="0.4"/>
    <row r="593" ht="12.75" customHeight="1" x14ac:dyDescent="0.4"/>
    <row r="594" ht="12.75" customHeight="1" x14ac:dyDescent="0.4"/>
    <row r="595" ht="12.75" customHeight="1" x14ac:dyDescent="0.4"/>
    <row r="596" ht="12.75" customHeight="1" x14ac:dyDescent="0.4"/>
    <row r="597" ht="12.75" customHeight="1" x14ac:dyDescent="0.4"/>
    <row r="598" ht="12.75" customHeight="1" x14ac:dyDescent="0.4"/>
    <row r="599" ht="12.75" customHeight="1" x14ac:dyDescent="0.4"/>
    <row r="600" ht="12.75" customHeight="1" x14ac:dyDescent="0.4"/>
    <row r="601" ht="12.75" customHeight="1" x14ac:dyDescent="0.4"/>
    <row r="602" ht="12.75" customHeight="1" x14ac:dyDescent="0.4"/>
    <row r="603" ht="12.75" customHeight="1" x14ac:dyDescent="0.4"/>
    <row r="604" ht="12.75" customHeight="1" x14ac:dyDescent="0.4"/>
    <row r="605" ht="12.75" customHeight="1" x14ac:dyDescent="0.4"/>
    <row r="606" ht="12.75" customHeight="1" x14ac:dyDescent="0.4"/>
    <row r="607" ht="12.75" customHeight="1" x14ac:dyDescent="0.4"/>
    <row r="608" ht="12.75" customHeight="1" x14ac:dyDescent="0.4"/>
    <row r="609" ht="12.75" customHeight="1" x14ac:dyDescent="0.4"/>
    <row r="610" ht="12.75" customHeight="1" x14ac:dyDescent="0.4"/>
    <row r="611" ht="12.75" customHeight="1" x14ac:dyDescent="0.4"/>
    <row r="612" ht="12.75" customHeight="1" x14ac:dyDescent="0.4"/>
    <row r="613" ht="12.75" customHeight="1" x14ac:dyDescent="0.4"/>
    <row r="614" ht="12.75" customHeight="1" x14ac:dyDescent="0.4"/>
    <row r="615" ht="12.75" customHeight="1" x14ac:dyDescent="0.4"/>
    <row r="616" ht="12.75" customHeight="1" x14ac:dyDescent="0.4"/>
    <row r="617" ht="12.75" customHeight="1" x14ac:dyDescent="0.4"/>
    <row r="618" ht="12.75" customHeight="1" x14ac:dyDescent="0.4"/>
    <row r="619" ht="12.75" customHeight="1" x14ac:dyDescent="0.4"/>
    <row r="620" ht="12.75" customHeight="1" x14ac:dyDescent="0.4"/>
    <row r="621" ht="12.75" customHeight="1" x14ac:dyDescent="0.4"/>
    <row r="622" ht="12.75" customHeight="1" x14ac:dyDescent="0.4"/>
    <row r="623" ht="12.75" customHeight="1" x14ac:dyDescent="0.4"/>
    <row r="624" ht="12.75" customHeight="1" x14ac:dyDescent="0.4"/>
    <row r="625" ht="12.75" customHeight="1" x14ac:dyDescent="0.4"/>
    <row r="626" ht="12.75" customHeight="1" x14ac:dyDescent="0.4"/>
    <row r="627" ht="12.75" customHeight="1" x14ac:dyDescent="0.4"/>
    <row r="628" ht="12.75" customHeight="1" x14ac:dyDescent="0.4"/>
    <row r="629" ht="12.75" customHeight="1" x14ac:dyDescent="0.4"/>
    <row r="630" ht="12.75" customHeight="1" x14ac:dyDescent="0.4"/>
    <row r="631" ht="12.75" customHeight="1" x14ac:dyDescent="0.4"/>
    <row r="632" ht="12.75" customHeight="1" x14ac:dyDescent="0.4"/>
    <row r="633" ht="12.75" customHeight="1" x14ac:dyDescent="0.4"/>
    <row r="634" ht="12.75" customHeight="1" x14ac:dyDescent="0.4"/>
    <row r="635" ht="12.75" customHeight="1" x14ac:dyDescent="0.4"/>
    <row r="636" ht="12.75" customHeight="1" x14ac:dyDescent="0.4"/>
    <row r="637" ht="12.75" customHeight="1" x14ac:dyDescent="0.4"/>
    <row r="638" ht="12.75" customHeight="1" x14ac:dyDescent="0.4"/>
    <row r="639" ht="12.75" customHeight="1" x14ac:dyDescent="0.4"/>
    <row r="640" ht="12.75" customHeight="1" x14ac:dyDescent="0.4"/>
    <row r="641" ht="12.75" customHeight="1" x14ac:dyDescent="0.4"/>
    <row r="642" ht="12.75" customHeight="1" x14ac:dyDescent="0.4"/>
    <row r="643" ht="12.75" customHeight="1" x14ac:dyDescent="0.4"/>
    <row r="644" ht="12.75" customHeight="1" x14ac:dyDescent="0.4"/>
    <row r="645" ht="12.75" customHeight="1" x14ac:dyDescent="0.4"/>
    <row r="646" ht="12.75" customHeight="1" x14ac:dyDescent="0.4"/>
    <row r="647" ht="12.75" customHeight="1" x14ac:dyDescent="0.4"/>
    <row r="648" ht="12.75" customHeight="1" x14ac:dyDescent="0.4"/>
    <row r="649" ht="12.75" customHeight="1" x14ac:dyDescent="0.4"/>
    <row r="650" ht="12.75" customHeight="1" x14ac:dyDescent="0.4"/>
    <row r="651" ht="12.75" customHeight="1" x14ac:dyDescent="0.4"/>
    <row r="652" ht="12.75" customHeight="1" x14ac:dyDescent="0.4"/>
    <row r="653" ht="12.75" customHeight="1" x14ac:dyDescent="0.4"/>
    <row r="654" ht="12.75" customHeight="1" x14ac:dyDescent="0.4"/>
    <row r="655" ht="12.75" customHeight="1" x14ac:dyDescent="0.4"/>
    <row r="656" ht="12.75" customHeight="1" x14ac:dyDescent="0.4"/>
    <row r="657" ht="12.75" customHeight="1" x14ac:dyDescent="0.4"/>
    <row r="658" ht="12.75" customHeight="1" x14ac:dyDescent="0.4"/>
    <row r="659" ht="12.75" customHeight="1" x14ac:dyDescent="0.4"/>
    <row r="660" ht="12.75" customHeight="1" x14ac:dyDescent="0.4"/>
    <row r="661" ht="12.75" customHeight="1" x14ac:dyDescent="0.4"/>
    <row r="662" ht="12.75" customHeight="1" x14ac:dyDescent="0.4"/>
    <row r="663" ht="12.75" customHeight="1" x14ac:dyDescent="0.4"/>
    <row r="664" ht="12.75" customHeight="1" x14ac:dyDescent="0.4"/>
    <row r="665" ht="12.75" customHeight="1" x14ac:dyDescent="0.4"/>
    <row r="666" ht="12.75" customHeight="1" x14ac:dyDescent="0.4"/>
    <row r="667" ht="12.75" customHeight="1" x14ac:dyDescent="0.4"/>
    <row r="668" ht="12.75" customHeight="1" x14ac:dyDescent="0.4"/>
    <row r="669" ht="12.75" customHeight="1" x14ac:dyDescent="0.4"/>
    <row r="670" ht="12.75" customHeight="1" x14ac:dyDescent="0.4"/>
    <row r="671" ht="12.75" customHeight="1" x14ac:dyDescent="0.4"/>
    <row r="672" ht="12.75" customHeight="1" x14ac:dyDescent="0.4"/>
    <row r="673" ht="12.75" customHeight="1" x14ac:dyDescent="0.4"/>
    <row r="674" ht="12.75" customHeight="1" x14ac:dyDescent="0.4"/>
    <row r="675" ht="12.75" customHeight="1" x14ac:dyDescent="0.4"/>
    <row r="676" ht="12.75" customHeight="1" x14ac:dyDescent="0.4"/>
    <row r="677" ht="12.75" customHeight="1" x14ac:dyDescent="0.4"/>
    <row r="678" ht="12.75" customHeight="1" x14ac:dyDescent="0.4"/>
    <row r="679" ht="12.75" customHeight="1" x14ac:dyDescent="0.4"/>
    <row r="680" ht="12.75" customHeight="1" x14ac:dyDescent="0.4"/>
    <row r="681" ht="12.75" customHeight="1" x14ac:dyDescent="0.4"/>
    <row r="682" ht="12.75" customHeight="1" x14ac:dyDescent="0.4"/>
    <row r="683" ht="12.75" customHeight="1" x14ac:dyDescent="0.4"/>
    <row r="684" ht="12.75" customHeight="1" x14ac:dyDescent="0.4"/>
    <row r="685" ht="12.75" customHeight="1" x14ac:dyDescent="0.4"/>
    <row r="686" ht="12.75" customHeight="1" x14ac:dyDescent="0.4"/>
    <row r="687" ht="12.75" customHeight="1" x14ac:dyDescent="0.4"/>
    <row r="688" ht="12.75" customHeight="1" x14ac:dyDescent="0.4"/>
    <row r="689" ht="12.75" customHeight="1" x14ac:dyDescent="0.4"/>
    <row r="690" ht="12.75" customHeight="1" x14ac:dyDescent="0.4"/>
    <row r="691" ht="12.75" customHeight="1" x14ac:dyDescent="0.4"/>
    <row r="692" ht="12.75" customHeight="1" x14ac:dyDescent="0.4"/>
    <row r="693" ht="12.75" customHeight="1" x14ac:dyDescent="0.4"/>
    <row r="694" ht="12.75" customHeight="1" x14ac:dyDescent="0.4"/>
    <row r="695" ht="12.75" customHeight="1" x14ac:dyDescent="0.4"/>
    <row r="696" ht="12.75" customHeight="1" x14ac:dyDescent="0.4"/>
    <row r="697" ht="12.75" customHeight="1" x14ac:dyDescent="0.4"/>
    <row r="698" ht="12.75" customHeight="1" x14ac:dyDescent="0.4"/>
    <row r="699" ht="12.75" customHeight="1" x14ac:dyDescent="0.4"/>
    <row r="700" ht="12.75" customHeight="1" x14ac:dyDescent="0.4"/>
    <row r="701" ht="12.75" customHeight="1" x14ac:dyDescent="0.4"/>
    <row r="702" ht="12.75" customHeight="1" x14ac:dyDescent="0.4"/>
    <row r="703" ht="12.75" customHeight="1" x14ac:dyDescent="0.4"/>
    <row r="704" ht="12.75" customHeight="1" x14ac:dyDescent="0.4"/>
    <row r="705" ht="12.75" customHeight="1" x14ac:dyDescent="0.4"/>
    <row r="706" ht="12.75" customHeight="1" x14ac:dyDescent="0.4"/>
    <row r="707" ht="12.75" customHeight="1" x14ac:dyDescent="0.4"/>
    <row r="708" ht="12.75" customHeight="1" x14ac:dyDescent="0.4"/>
    <row r="709" ht="12.75" customHeight="1" x14ac:dyDescent="0.4"/>
    <row r="710" ht="12.75" customHeight="1" x14ac:dyDescent="0.4"/>
    <row r="711" ht="12.75" customHeight="1" x14ac:dyDescent="0.4"/>
    <row r="712" ht="12.75" customHeight="1" x14ac:dyDescent="0.4"/>
    <row r="713" ht="12.75" customHeight="1" x14ac:dyDescent="0.4"/>
    <row r="714" ht="12.75" customHeight="1" x14ac:dyDescent="0.4"/>
    <row r="715" ht="12.75" customHeight="1" x14ac:dyDescent="0.4"/>
    <row r="716" ht="12.75" customHeight="1" x14ac:dyDescent="0.4"/>
    <row r="717" ht="12.75" customHeight="1" x14ac:dyDescent="0.4"/>
    <row r="718" ht="12.75" customHeight="1" x14ac:dyDescent="0.4"/>
    <row r="719" ht="12.75" customHeight="1" x14ac:dyDescent="0.4"/>
    <row r="720" ht="12.75" customHeight="1" x14ac:dyDescent="0.4"/>
    <row r="721" ht="12.75" customHeight="1" x14ac:dyDescent="0.4"/>
    <row r="722" ht="12.75" customHeight="1" x14ac:dyDescent="0.4"/>
    <row r="723" ht="12.75" customHeight="1" x14ac:dyDescent="0.4"/>
    <row r="724" ht="12.75" customHeight="1" x14ac:dyDescent="0.4"/>
    <row r="725" ht="12.75" customHeight="1" x14ac:dyDescent="0.4"/>
    <row r="726" ht="12.75" customHeight="1" x14ac:dyDescent="0.4"/>
    <row r="727" ht="12.75" customHeight="1" x14ac:dyDescent="0.4"/>
    <row r="728" ht="12.75" customHeight="1" x14ac:dyDescent="0.4"/>
    <row r="729" ht="12.75" customHeight="1" x14ac:dyDescent="0.4"/>
    <row r="730" ht="12.75" customHeight="1" x14ac:dyDescent="0.4"/>
    <row r="731" ht="12.75" customHeight="1" x14ac:dyDescent="0.4"/>
    <row r="732" ht="12.75" customHeight="1" x14ac:dyDescent="0.4"/>
    <row r="733" ht="12.75" customHeight="1" x14ac:dyDescent="0.4"/>
    <row r="734" ht="12.75" customHeight="1" x14ac:dyDescent="0.4"/>
    <row r="735" ht="12.75" customHeight="1" x14ac:dyDescent="0.4"/>
    <row r="736" ht="12.75" customHeight="1" x14ac:dyDescent="0.4"/>
    <row r="737" ht="12.75" customHeight="1" x14ac:dyDescent="0.4"/>
    <row r="738" ht="12.75" customHeight="1" x14ac:dyDescent="0.4"/>
    <row r="739" ht="12.75" customHeight="1" x14ac:dyDescent="0.4"/>
    <row r="740" ht="12.75" customHeight="1" x14ac:dyDescent="0.4"/>
    <row r="741" ht="12.75" customHeight="1" x14ac:dyDescent="0.4"/>
    <row r="742" ht="12.75" customHeight="1" x14ac:dyDescent="0.4"/>
    <row r="743" ht="12.75" customHeight="1" x14ac:dyDescent="0.4"/>
    <row r="744" ht="12.75" customHeight="1" x14ac:dyDescent="0.4"/>
    <row r="745" ht="12.75" customHeight="1" x14ac:dyDescent="0.4"/>
    <row r="746" ht="12.75" customHeight="1" x14ac:dyDescent="0.4"/>
    <row r="747" ht="12.75" customHeight="1" x14ac:dyDescent="0.4"/>
    <row r="748" ht="12.75" customHeight="1" x14ac:dyDescent="0.4"/>
    <row r="749" ht="12.75" customHeight="1" x14ac:dyDescent="0.4"/>
    <row r="750" ht="12.75" customHeight="1" x14ac:dyDescent="0.4"/>
    <row r="751" ht="12.75" customHeight="1" x14ac:dyDescent="0.4"/>
    <row r="752" ht="12.75" customHeight="1" x14ac:dyDescent="0.4"/>
    <row r="753" ht="12.75" customHeight="1" x14ac:dyDescent="0.4"/>
    <row r="754" ht="12.75" customHeight="1" x14ac:dyDescent="0.4"/>
    <row r="755" ht="12.75" customHeight="1" x14ac:dyDescent="0.4"/>
    <row r="756" ht="12.75" customHeight="1" x14ac:dyDescent="0.4"/>
    <row r="757" ht="12.75" customHeight="1" x14ac:dyDescent="0.4"/>
    <row r="758" ht="12.75" customHeight="1" x14ac:dyDescent="0.4"/>
    <row r="759" ht="12.75" customHeight="1" x14ac:dyDescent="0.4"/>
    <row r="760" ht="12.75" customHeight="1" x14ac:dyDescent="0.4"/>
    <row r="761" ht="12.75" customHeight="1" x14ac:dyDescent="0.4"/>
    <row r="762" ht="12.75" customHeight="1" x14ac:dyDescent="0.4"/>
    <row r="763" ht="12.75" customHeight="1" x14ac:dyDescent="0.4"/>
    <row r="764" ht="12.75" customHeight="1" x14ac:dyDescent="0.4"/>
    <row r="765" ht="12.75" customHeight="1" x14ac:dyDescent="0.4"/>
    <row r="766" ht="12.75" customHeight="1" x14ac:dyDescent="0.4"/>
    <row r="767" ht="12.75" customHeight="1" x14ac:dyDescent="0.4"/>
    <row r="768" ht="12.75" customHeight="1" x14ac:dyDescent="0.4"/>
    <row r="769" ht="12.75" customHeight="1" x14ac:dyDescent="0.4"/>
    <row r="770" ht="12.75" customHeight="1" x14ac:dyDescent="0.4"/>
    <row r="771" ht="12.75" customHeight="1" x14ac:dyDescent="0.4"/>
    <row r="772" ht="12.75" customHeight="1" x14ac:dyDescent="0.4"/>
    <row r="773" ht="12.75" customHeight="1" x14ac:dyDescent="0.4"/>
    <row r="774" ht="12.75" customHeight="1" x14ac:dyDescent="0.4"/>
    <row r="775" ht="12.75" customHeight="1" x14ac:dyDescent="0.4"/>
    <row r="776" ht="12.75" customHeight="1" x14ac:dyDescent="0.4"/>
    <row r="777" ht="12.75" customHeight="1" x14ac:dyDescent="0.4"/>
    <row r="778" ht="12.75" customHeight="1" x14ac:dyDescent="0.4"/>
    <row r="779" ht="12.75" customHeight="1" x14ac:dyDescent="0.4"/>
    <row r="780" ht="12.75" customHeight="1" x14ac:dyDescent="0.4"/>
    <row r="781" ht="12.75" customHeight="1" x14ac:dyDescent="0.4"/>
    <row r="782" ht="12.75" customHeight="1" x14ac:dyDescent="0.4"/>
    <row r="783" ht="12.75" customHeight="1" x14ac:dyDescent="0.4"/>
    <row r="784" ht="12.75" customHeight="1" x14ac:dyDescent="0.4"/>
    <row r="785" ht="12.75" customHeight="1" x14ac:dyDescent="0.4"/>
    <row r="786" ht="12.75" customHeight="1" x14ac:dyDescent="0.4"/>
    <row r="787" ht="12.75" customHeight="1" x14ac:dyDescent="0.4"/>
    <row r="788" ht="12.75" customHeight="1" x14ac:dyDescent="0.4"/>
    <row r="789" ht="12.75" customHeight="1" x14ac:dyDescent="0.4"/>
    <row r="790" ht="12.75" customHeight="1" x14ac:dyDescent="0.4"/>
    <row r="791" ht="12.75" customHeight="1" x14ac:dyDescent="0.4"/>
    <row r="792" ht="12.75" customHeight="1" x14ac:dyDescent="0.4"/>
    <row r="793" ht="12.75" customHeight="1" x14ac:dyDescent="0.4"/>
    <row r="794" ht="12.75" customHeight="1" x14ac:dyDescent="0.4"/>
    <row r="795" ht="12.75" customHeight="1" x14ac:dyDescent="0.4"/>
    <row r="796" ht="12.75" customHeight="1" x14ac:dyDescent="0.4"/>
    <row r="797" ht="12.75" customHeight="1" x14ac:dyDescent="0.4"/>
    <row r="798" ht="12.75" customHeight="1" x14ac:dyDescent="0.4"/>
    <row r="799" ht="12.75" customHeight="1" x14ac:dyDescent="0.4"/>
    <row r="800" ht="12.75" customHeight="1" x14ac:dyDescent="0.4"/>
    <row r="801" ht="12.75" customHeight="1" x14ac:dyDescent="0.4"/>
    <row r="802" ht="12.75" customHeight="1" x14ac:dyDescent="0.4"/>
    <row r="803" ht="12.75" customHeight="1" x14ac:dyDescent="0.4"/>
    <row r="804" ht="12.75" customHeight="1" x14ac:dyDescent="0.4"/>
    <row r="805" ht="12.75" customHeight="1" x14ac:dyDescent="0.4"/>
    <row r="806" ht="12.75" customHeight="1" x14ac:dyDescent="0.4"/>
    <row r="807" ht="12.75" customHeight="1" x14ac:dyDescent="0.4"/>
    <row r="808" ht="12.75" customHeight="1" x14ac:dyDescent="0.4"/>
    <row r="809" ht="12.75" customHeight="1" x14ac:dyDescent="0.4"/>
    <row r="810" ht="12.75" customHeight="1" x14ac:dyDescent="0.4"/>
    <row r="811" ht="12.75" customHeight="1" x14ac:dyDescent="0.4"/>
    <row r="812" ht="12.75" customHeight="1" x14ac:dyDescent="0.4"/>
    <row r="813" ht="12.75" customHeight="1" x14ac:dyDescent="0.4"/>
    <row r="814" ht="12.75" customHeight="1" x14ac:dyDescent="0.4"/>
    <row r="815" ht="12.75" customHeight="1" x14ac:dyDescent="0.4"/>
    <row r="816" ht="12.75" customHeight="1" x14ac:dyDescent="0.4"/>
    <row r="817" ht="12.75" customHeight="1" x14ac:dyDescent="0.4"/>
    <row r="818" ht="12.75" customHeight="1" x14ac:dyDescent="0.4"/>
    <row r="819" ht="12.75" customHeight="1" x14ac:dyDescent="0.4"/>
    <row r="820" ht="12.75" customHeight="1" x14ac:dyDescent="0.4"/>
    <row r="821" ht="12.75" customHeight="1" x14ac:dyDescent="0.4"/>
    <row r="822" ht="12.75" customHeight="1" x14ac:dyDescent="0.4"/>
    <row r="823" ht="12.75" customHeight="1" x14ac:dyDescent="0.4"/>
    <row r="824" ht="12.75" customHeight="1" x14ac:dyDescent="0.4"/>
    <row r="825" ht="12.75" customHeight="1" x14ac:dyDescent="0.4"/>
    <row r="826" ht="12.75" customHeight="1" x14ac:dyDescent="0.4"/>
    <row r="827" ht="12.75" customHeight="1" x14ac:dyDescent="0.4"/>
    <row r="828" ht="12.75" customHeight="1" x14ac:dyDescent="0.4"/>
    <row r="829" ht="12.75" customHeight="1" x14ac:dyDescent="0.4"/>
    <row r="830" ht="12.75" customHeight="1" x14ac:dyDescent="0.4"/>
    <row r="831" ht="12.75" customHeight="1" x14ac:dyDescent="0.4"/>
    <row r="832" ht="12.75" customHeight="1" x14ac:dyDescent="0.4"/>
    <row r="833" ht="12.75" customHeight="1" x14ac:dyDescent="0.4"/>
    <row r="834" ht="12.75" customHeight="1" x14ac:dyDescent="0.4"/>
    <row r="835" ht="12.75" customHeight="1" x14ac:dyDescent="0.4"/>
    <row r="836" ht="12.75" customHeight="1" x14ac:dyDescent="0.4"/>
    <row r="837" ht="12.75" customHeight="1" x14ac:dyDescent="0.4"/>
    <row r="838" ht="12.75" customHeight="1" x14ac:dyDescent="0.4"/>
    <row r="839" ht="12.75" customHeight="1" x14ac:dyDescent="0.4"/>
    <row r="840" ht="12.75" customHeight="1" x14ac:dyDescent="0.4"/>
    <row r="841" ht="12.75" customHeight="1" x14ac:dyDescent="0.4"/>
    <row r="842" ht="12.75" customHeight="1" x14ac:dyDescent="0.4"/>
    <row r="843" ht="12.75" customHeight="1" x14ac:dyDescent="0.4"/>
    <row r="844" ht="12.75" customHeight="1" x14ac:dyDescent="0.4"/>
    <row r="845" ht="12.75" customHeight="1" x14ac:dyDescent="0.4"/>
    <row r="846" ht="12.75" customHeight="1" x14ac:dyDescent="0.4"/>
    <row r="847" ht="12.75" customHeight="1" x14ac:dyDescent="0.4"/>
    <row r="848" ht="12.75" customHeight="1" x14ac:dyDescent="0.4"/>
    <row r="849" ht="12.75" customHeight="1" x14ac:dyDescent="0.4"/>
    <row r="850" ht="12.75" customHeight="1" x14ac:dyDescent="0.4"/>
    <row r="851" ht="12.75" customHeight="1" x14ac:dyDescent="0.4"/>
    <row r="852" ht="12.75" customHeight="1" x14ac:dyDescent="0.4"/>
    <row r="853" ht="12.75" customHeight="1" x14ac:dyDescent="0.4"/>
    <row r="854" ht="12.75" customHeight="1" x14ac:dyDescent="0.4"/>
    <row r="855" ht="12.75" customHeight="1" x14ac:dyDescent="0.4"/>
    <row r="856" ht="12.75" customHeight="1" x14ac:dyDescent="0.4"/>
    <row r="857" ht="12.75" customHeight="1" x14ac:dyDescent="0.4"/>
    <row r="858" ht="12.75" customHeight="1" x14ac:dyDescent="0.4"/>
    <row r="859" ht="12.75" customHeight="1" x14ac:dyDescent="0.4"/>
    <row r="860" ht="12.75" customHeight="1" x14ac:dyDescent="0.4"/>
    <row r="861" ht="12.75" customHeight="1" x14ac:dyDescent="0.4"/>
    <row r="862" ht="12.75" customHeight="1" x14ac:dyDescent="0.4"/>
    <row r="863" ht="12.75" customHeight="1" x14ac:dyDescent="0.4"/>
    <row r="864" ht="12.75" customHeight="1" x14ac:dyDescent="0.4"/>
    <row r="865" ht="12.75" customHeight="1" x14ac:dyDescent="0.4"/>
    <row r="866" ht="12.75" customHeight="1" x14ac:dyDescent="0.4"/>
    <row r="867" ht="12.75" customHeight="1" x14ac:dyDescent="0.4"/>
    <row r="868" ht="12.75" customHeight="1" x14ac:dyDescent="0.4"/>
    <row r="869" ht="12.75" customHeight="1" x14ac:dyDescent="0.4"/>
    <row r="870" ht="12.75" customHeight="1" x14ac:dyDescent="0.4"/>
    <row r="871" ht="12.75" customHeight="1" x14ac:dyDescent="0.4"/>
    <row r="872" ht="12.75" customHeight="1" x14ac:dyDescent="0.4"/>
    <row r="873" ht="12.75" customHeight="1" x14ac:dyDescent="0.4"/>
    <row r="874" ht="12.75" customHeight="1" x14ac:dyDescent="0.4"/>
    <row r="875" ht="12.75" customHeight="1" x14ac:dyDescent="0.4"/>
    <row r="876" ht="12.75" customHeight="1" x14ac:dyDescent="0.4"/>
    <row r="877" ht="12.75" customHeight="1" x14ac:dyDescent="0.4"/>
    <row r="878" ht="12.75" customHeight="1" x14ac:dyDescent="0.4"/>
    <row r="879" ht="12.75" customHeight="1" x14ac:dyDescent="0.4"/>
    <row r="880" ht="12.75" customHeight="1" x14ac:dyDescent="0.4"/>
    <row r="881" ht="12.75" customHeight="1" x14ac:dyDescent="0.4"/>
    <row r="882" ht="12.75" customHeight="1" x14ac:dyDescent="0.4"/>
    <row r="883" ht="12.75" customHeight="1" x14ac:dyDescent="0.4"/>
    <row r="884" ht="12.75" customHeight="1" x14ac:dyDescent="0.4"/>
    <row r="885" ht="12.75" customHeight="1" x14ac:dyDescent="0.4"/>
    <row r="886" ht="12.75" customHeight="1" x14ac:dyDescent="0.4"/>
    <row r="887" ht="12.75" customHeight="1" x14ac:dyDescent="0.4"/>
    <row r="888" ht="12.75" customHeight="1" x14ac:dyDescent="0.4"/>
    <row r="889" ht="12.75" customHeight="1" x14ac:dyDescent="0.4"/>
    <row r="890" ht="12.75" customHeight="1" x14ac:dyDescent="0.4"/>
    <row r="891" ht="12.75" customHeight="1" x14ac:dyDescent="0.4"/>
    <row r="892" ht="12.75" customHeight="1" x14ac:dyDescent="0.4"/>
    <row r="893" ht="12.75" customHeight="1" x14ac:dyDescent="0.4"/>
    <row r="894" ht="12.75" customHeight="1" x14ac:dyDescent="0.4"/>
    <row r="895" ht="12.75" customHeight="1" x14ac:dyDescent="0.4"/>
    <row r="896" ht="12.75" customHeight="1" x14ac:dyDescent="0.4"/>
    <row r="897" ht="12.75" customHeight="1" x14ac:dyDescent="0.4"/>
    <row r="898" ht="12.75" customHeight="1" x14ac:dyDescent="0.4"/>
    <row r="899" ht="12.75" customHeight="1" x14ac:dyDescent="0.4"/>
    <row r="900" ht="12.75" customHeight="1" x14ac:dyDescent="0.4"/>
    <row r="901" ht="12.75" customHeight="1" x14ac:dyDescent="0.4"/>
    <row r="902" ht="12.75" customHeight="1" x14ac:dyDescent="0.4"/>
    <row r="903" ht="12.75" customHeight="1" x14ac:dyDescent="0.4"/>
    <row r="904" ht="12.75" customHeight="1" x14ac:dyDescent="0.4"/>
    <row r="905" ht="12.75" customHeight="1" x14ac:dyDescent="0.4"/>
    <row r="906" ht="12.75" customHeight="1" x14ac:dyDescent="0.4"/>
    <row r="907" ht="12.75" customHeight="1" x14ac:dyDescent="0.4"/>
    <row r="908" ht="12.75" customHeight="1" x14ac:dyDescent="0.4"/>
    <row r="909" ht="12.75" customHeight="1" x14ac:dyDescent="0.4"/>
    <row r="910" ht="12.75" customHeight="1" x14ac:dyDescent="0.4"/>
    <row r="911" ht="12.75" customHeight="1" x14ac:dyDescent="0.4"/>
    <row r="912" ht="12.75" customHeight="1" x14ac:dyDescent="0.4"/>
    <row r="913" ht="12.75" customHeight="1" x14ac:dyDescent="0.4"/>
    <row r="914" ht="12.75" customHeight="1" x14ac:dyDescent="0.4"/>
    <row r="915" ht="12.75" customHeight="1" x14ac:dyDescent="0.4"/>
    <row r="916" ht="12.75" customHeight="1" x14ac:dyDescent="0.4"/>
    <row r="917" ht="12.75" customHeight="1" x14ac:dyDescent="0.4"/>
    <row r="918" ht="12.75" customHeight="1" x14ac:dyDescent="0.4"/>
    <row r="919" ht="12.75" customHeight="1" x14ac:dyDescent="0.4"/>
    <row r="920" ht="12.75" customHeight="1" x14ac:dyDescent="0.4"/>
    <row r="921" ht="12.75" customHeight="1" x14ac:dyDescent="0.4"/>
    <row r="922" ht="12.75" customHeight="1" x14ac:dyDescent="0.4"/>
    <row r="923" ht="12.75" customHeight="1" x14ac:dyDescent="0.4"/>
    <row r="924" ht="12.75" customHeight="1" x14ac:dyDescent="0.4"/>
    <row r="925" ht="12.75" customHeight="1" x14ac:dyDescent="0.4"/>
    <row r="926" ht="12.75" customHeight="1" x14ac:dyDescent="0.4"/>
    <row r="927" ht="12.75" customHeight="1" x14ac:dyDescent="0.4"/>
    <row r="928" ht="12.75" customHeight="1" x14ac:dyDescent="0.4"/>
    <row r="929" ht="12.75" customHeight="1" x14ac:dyDescent="0.4"/>
    <row r="930" ht="12.75" customHeight="1" x14ac:dyDescent="0.4"/>
    <row r="931" ht="12.75" customHeight="1" x14ac:dyDescent="0.4"/>
    <row r="932" ht="12.75" customHeight="1" x14ac:dyDescent="0.4"/>
    <row r="933" ht="12.75" customHeight="1" x14ac:dyDescent="0.4"/>
    <row r="934" ht="12.75" customHeight="1" x14ac:dyDescent="0.4"/>
    <row r="935" ht="12.75" customHeight="1" x14ac:dyDescent="0.4"/>
    <row r="936" ht="12.75" customHeight="1" x14ac:dyDescent="0.4"/>
    <row r="937" ht="12.75" customHeight="1" x14ac:dyDescent="0.4"/>
    <row r="938" ht="12.75" customHeight="1" x14ac:dyDescent="0.4"/>
    <row r="939" ht="12.75" customHeight="1" x14ac:dyDescent="0.4"/>
    <row r="940" ht="12.75" customHeight="1" x14ac:dyDescent="0.4"/>
    <row r="941" ht="12.75" customHeight="1" x14ac:dyDescent="0.4"/>
    <row r="942" ht="12.75" customHeight="1" x14ac:dyDescent="0.4"/>
    <row r="943" ht="12.75" customHeight="1" x14ac:dyDescent="0.4"/>
    <row r="944" ht="12.75" customHeight="1" x14ac:dyDescent="0.4"/>
    <row r="945" ht="12.75" customHeight="1" x14ac:dyDescent="0.4"/>
    <row r="946" ht="12.75" customHeight="1" x14ac:dyDescent="0.4"/>
    <row r="947" ht="12.75" customHeight="1" x14ac:dyDescent="0.4"/>
    <row r="948" ht="12.75" customHeight="1" x14ac:dyDescent="0.4"/>
    <row r="949" ht="12.75" customHeight="1" x14ac:dyDescent="0.4"/>
    <row r="950" ht="12.75" customHeight="1" x14ac:dyDescent="0.4"/>
    <row r="951" ht="12.75" customHeight="1" x14ac:dyDescent="0.4"/>
    <row r="952" ht="12.75" customHeight="1" x14ac:dyDescent="0.4"/>
    <row r="953" ht="12.75" customHeight="1" x14ac:dyDescent="0.4"/>
    <row r="954" ht="12.75" customHeight="1" x14ac:dyDescent="0.4"/>
    <row r="955" ht="12.75" customHeight="1" x14ac:dyDescent="0.4"/>
    <row r="956" ht="12.75" customHeight="1" x14ac:dyDescent="0.4"/>
    <row r="957" ht="12.75" customHeight="1" x14ac:dyDescent="0.4"/>
    <row r="958" ht="12.75" customHeight="1" x14ac:dyDescent="0.4"/>
    <row r="959" ht="12.75" customHeight="1" x14ac:dyDescent="0.4"/>
    <row r="960" ht="12.75" customHeight="1" x14ac:dyDescent="0.4"/>
    <row r="961" ht="12.75" customHeight="1" x14ac:dyDescent="0.4"/>
    <row r="962" ht="12.75" customHeight="1" x14ac:dyDescent="0.4"/>
    <row r="963" ht="12.75" customHeight="1" x14ac:dyDescent="0.4"/>
    <row r="964" ht="12.75" customHeight="1" x14ac:dyDescent="0.4"/>
    <row r="965" ht="12.75" customHeight="1" x14ac:dyDescent="0.4"/>
    <row r="966" ht="12.75" customHeight="1" x14ac:dyDescent="0.4"/>
    <row r="967" ht="12.75" customHeight="1" x14ac:dyDescent="0.4"/>
    <row r="968" ht="12.75" customHeight="1" x14ac:dyDescent="0.4"/>
    <row r="969" ht="12.75" customHeight="1" x14ac:dyDescent="0.4"/>
    <row r="970" ht="12.75" customHeight="1" x14ac:dyDescent="0.4"/>
    <row r="971" ht="12.75" customHeight="1" x14ac:dyDescent="0.4"/>
    <row r="972" ht="12.75" customHeight="1" x14ac:dyDescent="0.4"/>
    <row r="973" ht="12.75" customHeight="1" x14ac:dyDescent="0.4"/>
    <row r="974" ht="12.75" customHeight="1" x14ac:dyDescent="0.4"/>
    <row r="975" ht="12.75" customHeight="1" x14ac:dyDescent="0.4"/>
    <row r="976" ht="12.75" customHeight="1" x14ac:dyDescent="0.4"/>
    <row r="977" ht="12.75" customHeight="1" x14ac:dyDescent="0.4"/>
    <row r="978" ht="12.75" customHeight="1" x14ac:dyDescent="0.4"/>
    <row r="979" ht="12.75" customHeight="1" x14ac:dyDescent="0.4"/>
    <row r="980" ht="12.75" customHeight="1" x14ac:dyDescent="0.4"/>
    <row r="981" ht="12.75" customHeight="1" x14ac:dyDescent="0.4"/>
    <row r="982" ht="12.75" customHeight="1" x14ac:dyDescent="0.4"/>
    <row r="983" ht="12.75" customHeight="1" x14ac:dyDescent="0.4"/>
    <row r="984" ht="12.75" customHeight="1" x14ac:dyDescent="0.4"/>
    <row r="985" ht="12.75" customHeight="1" x14ac:dyDescent="0.4"/>
    <row r="986" ht="12.75" customHeight="1" x14ac:dyDescent="0.4"/>
    <row r="987" ht="12.75" customHeight="1" x14ac:dyDescent="0.4"/>
    <row r="988" ht="12.75" customHeight="1" x14ac:dyDescent="0.4"/>
    <row r="989" ht="12.75" customHeight="1" x14ac:dyDescent="0.4"/>
    <row r="990" ht="12.75" customHeight="1" x14ac:dyDescent="0.4"/>
    <row r="991" ht="12.75" customHeight="1" x14ac:dyDescent="0.4"/>
    <row r="992" ht="12.75" customHeight="1" x14ac:dyDescent="0.4"/>
    <row r="993" ht="12.75" customHeight="1" x14ac:dyDescent="0.4"/>
    <row r="994" ht="12.75" customHeight="1" x14ac:dyDescent="0.4"/>
    <row r="995" ht="12.75" customHeight="1" x14ac:dyDescent="0.4"/>
    <row r="996" ht="12.75" customHeight="1" x14ac:dyDescent="0.4"/>
    <row r="997" ht="12.75" customHeight="1" x14ac:dyDescent="0.4"/>
    <row r="998" ht="12.75" customHeight="1" x14ac:dyDescent="0.4"/>
    <row r="999" ht="12.75" customHeight="1" x14ac:dyDescent="0.4"/>
    <row r="1000" ht="12.75" customHeight="1" x14ac:dyDescent="0.4"/>
  </sheetData>
  <dataValidations count="2">
    <dataValidation type="list" allowBlank="1" showInputMessage="1" showErrorMessage="1" promptTitle="Implementation Status" prompt="Leave blank until task is begun._x000a_Select &quot;In Work&quot; when started (for long tasks only)._x000a_Select Completed ONLY when this task is done._x000a_    Select &quot;Completed Day 1&quot; if finished on the first day, and_x000a_    similarly for &quot;Completed on Day 2&quot; et. al." sqref="E17:E100" xr:uid="{00000000-0002-0000-0400-000001000000}">
      <formula1>"In Work,Completed Day 1,Completed Day 2,Completed Day 3,Completed Day 4,Completed Day 5,Completed Day 6,Completed Day 7"</formula1>
    </dataValidation>
    <dataValidation type="list" allowBlank="1" showInputMessage="1" showErrorMessage="1" prompt="Select Feature ID from Product Backlog - Exactly ONE team member may be responsible for any task, and they will receive grade credit for their work._x000a__x000a_If you have more than one person on your team, each member MUST select their initials for each task the a" sqref="C17:C100" xr:uid="{00000000-0002-0000-0400-000002000000}">
      <formula1>#REF!</formula1>
    </dataValidation>
  </dataValidations>
  <pageMargins left="0.78749999999999998" right="0.78749999999999998" top="1.0249999999999999" bottom="1.0249999999999999" header="0" footer="0"/>
  <pageSetup orientation="portrait"/>
  <headerFooter>
    <oddHeader>&amp;C&amp;A</oddHeader>
    <oddFooter>&amp;CPage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elect Feature ID from Product Backlog - The list contains the Feature IDs from the same column on the Product Backlog tab._x000a__x000a_For each (ahem) Feature ID, create one or more rows in this table representing the tasks you need to complete to implement that fe" xr:uid="{00000000-0002-0000-0400-000000000000}">
          <x14:formula1>
            <xm:f>'Product Backlog'!$A$24:$A$95</xm:f>
          </x14:formula1>
          <xm:sqref>B17:B100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Sprint 01 Backlog</vt:lpstr>
      <vt:lpstr>Sprint 02 Backlog</vt:lpstr>
      <vt:lpstr>Sprint 03 Backlog</vt:lpstr>
      <vt:lpstr>Sprint 04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Santosh Bhandari</cp:lastModifiedBy>
  <dcterms:modified xsi:type="dcterms:W3CDTF">2020-03-31T09:32:10Z</dcterms:modified>
</cp:coreProperties>
</file>